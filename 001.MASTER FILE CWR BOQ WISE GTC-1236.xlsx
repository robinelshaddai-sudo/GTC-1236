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577378ED-C413-4D7D-82E8-27FAA7843DAB}" xr6:coauthVersionLast="47" xr6:coauthVersionMax="47" xr10:uidLastSave="{00000000-0000-0000-0000-000000000000}"/>
  <bookViews>
    <workbookView xWindow="-120" yWindow="-120" windowWidth="29040" windowHeight="15720" tabRatio="604" activeTab="1" xr2:uid="{00000000-000D-0000-FFFF-FFFF00000000}"/>
  </bookViews>
  <sheets>
    <sheet name="Purpose" sheetId="16" r:id="rId1"/>
    <sheet name="BOQ MASTER" sheetId="13" r:id="rId2"/>
    <sheet name="Project Summary" sheetId="15" r:id="rId3"/>
    <sheet name="lists" sheetId="17" r:id="rId4"/>
  </sheets>
  <definedNames>
    <definedName name="_xlnm._FilterDatabase" localSheetId="1" hidden="1">'BOQ MASTER'!$A$2:$BZ$109</definedName>
    <definedName name="_xlnm.Print_Area" localSheetId="2">'Project Summary'!$A$2:$C$20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3" l="1"/>
  <c r="BO78" i="13" l="1"/>
  <c r="BN78" i="13"/>
  <c r="O78" i="13"/>
  <c r="M78" i="13"/>
  <c r="G78" i="13"/>
  <c r="BN105" i="13"/>
  <c r="M105" i="13"/>
  <c r="Q105" i="13" s="1"/>
  <c r="O39" i="13"/>
  <c r="AS25" i="13"/>
  <c r="BO25" i="13" s="1"/>
  <c r="AR25" i="13"/>
  <c r="AP25" i="13"/>
  <c r="AR65" i="13"/>
  <c r="AQ65" i="13"/>
  <c r="AP65" i="13"/>
  <c r="AR89" i="13"/>
  <c r="AP89" i="13"/>
  <c r="AR74" i="13"/>
  <c r="AP74" i="13"/>
  <c r="AF86" i="13"/>
  <c r="AD86" i="13"/>
  <c r="Z86" i="13"/>
  <c r="X86" i="13"/>
  <c r="X74" i="13"/>
  <c r="AD18" i="13"/>
  <c r="AP101" i="13"/>
  <c r="AH102" i="13"/>
  <c r="Z102" i="13"/>
  <c r="BN102" i="13" s="1"/>
  <c r="X82" i="13"/>
  <c r="AE84" i="13"/>
  <c r="BO84" i="13" s="1"/>
  <c r="AD84" i="13"/>
  <c r="BN84" i="13" s="1"/>
  <c r="AI19" i="13"/>
  <c r="AH19" i="13"/>
  <c r="AK19" i="13"/>
  <c r="AJ19" i="13"/>
  <c r="AA19" i="13"/>
  <c r="Z19" i="13"/>
  <c r="BO19" i="13"/>
  <c r="BO86" i="13"/>
  <c r="BO87" i="13"/>
  <c r="AH87" i="13"/>
  <c r="BN87" i="13" s="1"/>
  <c r="AG64" i="13"/>
  <c r="BO64" i="13" s="1"/>
  <c r="AF64" i="13"/>
  <c r="BN64" i="13" s="1"/>
  <c r="AA90" i="13"/>
  <c r="Z90" i="13"/>
  <c r="Q19" i="13"/>
  <c r="BO102" i="13"/>
  <c r="M102" i="13"/>
  <c r="Q102" i="13" s="1"/>
  <c r="BO28" i="13"/>
  <c r="BN28" i="13"/>
  <c r="O28" i="13"/>
  <c r="M28" i="13"/>
  <c r="G28" i="13"/>
  <c r="M65" i="13"/>
  <c r="Q65" i="13" s="1"/>
  <c r="BO77" i="13"/>
  <c r="BN77" i="13"/>
  <c r="O77" i="13"/>
  <c r="M77" i="13"/>
  <c r="G77" i="13"/>
  <c r="O74" i="13"/>
  <c r="O87" i="13"/>
  <c r="M87" i="13"/>
  <c r="G87" i="13"/>
  <c r="O25" i="13"/>
  <c r="G25" i="13"/>
  <c r="Q25" i="13" s="1"/>
  <c r="M64" i="13"/>
  <c r="Q64" i="13" s="1"/>
  <c r="BO90" i="13"/>
  <c r="BN90" i="13"/>
  <c r="O90" i="13"/>
  <c r="M90" i="13"/>
  <c r="G90" i="13"/>
  <c r="BO39" i="13"/>
  <c r="BN39" i="13"/>
  <c r="M39" i="13"/>
  <c r="G39" i="13"/>
  <c r="BO76" i="13"/>
  <c r="BN76" i="13"/>
  <c r="O76" i="13"/>
  <c r="M76" i="13"/>
  <c r="G76" i="13"/>
  <c r="BO99" i="13"/>
  <c r="BN99" i="13"/>
  <c r="Q99" i="13"/>
  <c r="O99" i="13"/>
  <c r="Q78" i="13" l="1"/>
  <c r="BN19" i="13"/>
  <c r="BN65" i="13"/>
  <c r="BO65" i="13"/>
  <c r="BN25" i="13"/>
  <c r="Q28" i="13"/>
  <c r="Q77" i="13"/>
  <c r="Q87" i="13"/>
  <c r="Q90" i="13"/>
  <c r="Q39" i="13"/>
  <c r="Q76" i="13"/>
  <c r="AK63" i="13"/>
  <c r="BO63" i="13" s="1"/>
  <c r="AJ63" i="13"/>
  <c r="BN63" i="13" s="1"/>
  <c r="AG62" i="13"/>
  <c r="BO62" i="13" s="1"/>
  <c r="AF62" i="13"/>
  <c r="BN62" i="13" s="1"/>
  <c r="AI98" i="13"/>
  <c r="AH98" i="13"/>
  <c r="AR24" i="13"/>
  <c r="AP24" i="13"/>
  <c r="BO82" i="13"/>
  <c r="BO83" i="13"/>
  <c r="BN83" i="13"/>
  <c r="BN104" i="13"/>
  <c r="M104" i="13"/>
  <c r="Q104" i="13" s="1"/>
  <c r="M63" i="13"/>
  <c r="Q63" i="13" s="1"/>
  <c r="AK17" i="13"/>
  <c r="BO17" i="13" s="1"/>
  <c r="BN17" i="13"/>
  <c r="AL6" i="13"/>
  <c r="BO18" i="13"/>
  <c r="BN18" i="13"/>
  <c r="Q18" i="13"/>
  <c r="Q17" i="13"/>
  <c r="Y23" i="13"/>
  <c r="X23" i="13"/>
  <c r="M62" i="13"/>
  <c r="Q62" i="13" s="1"/>
  <c r="AA98" i="13"/>
  <c r="Z98" i="13"/>
  <c r="BO75" i="13"/>
  <c r="BN75" i="13"/>
  <c r="O75" i="13"/>
  <c r="M75" i="13"/>
  <c r="G75" i="13"/>
  <c r="Q98" i="13"/>
  <c r="BN98" i="13" l="1"/>
  <c r="BO98" i="13"/>
  <c r="Q75" i="13"/>
  <c r="AS72" i="13"/>
  <c r="AR72" i="13"/>
  <c r="AQ72" i="13"/>
  <c r="AP72" i="13"/>
  <c r="AA72" i="13"/>
  <c r="Z72" i="13"/>
  <c r="AS50" i="13"/>
  <c r="AR50" i="13"/>
  <c r="AQ50" i="13"/>
  <c r="AP50" i="13"/>
  <c r="BO97" i="13"/>
  <c r="BN97" i="13"/>
  <c r="Q97" i="13"/>
  <c r="O97" i="13"/>
  <c r="Q70" i="13"/>
  <c r="Q72" i="13"/>
  <c r="O96" i="13"/>
  <c r="O91" i="13"/>
  <c r="O92" i="13"/>
  <c r="O93" i="13"/>
  <c r="O94" i="13"/>
  <c r="O95" i="13"/>
  <c r="O27" i="13"/>
  <c r="O29" i="13"/>
  <c r="O30" i="13"/>
  <c r="O31" i="13"/>
  <c r="O24" i="13"/>
  <c r="BO24" i="13"/>
  <c r="BN24" i="13"/>
  <c r="G24" i="13"/>
  <c r="Q24" i="13" s="1"/>
  <c r="BO23" i="13"/>
  <c r="BN23" i="13"/>
  <c r="O23" i="13"/>
  <c r="G23" i="13"/>
  <c r="Q23" i="13" s="1"/>
  <c r="BN103" i="13"/>
  <c r="M103" i="13"/>
  <c r="Q103" i="13" s="1"/>
  <c r="AG110" i="13"/>
  <c r="AW110" i="13"/>
  <c r="AX110" i="13"/>
  <c r="AY110" i="13"/>
  <c r="AZ110" i="13"/>
  <c r="BA110" i="13"/>
  <c r="BB110" i="13"/>
  <c r="BC110" i="13"/>
  <c r="BD110" i="13"/>
  <c r="BE110" i="13"/>
  <c r="BF110" i="13"/>
  <c r="BG110" i="13"/>
  <c r="BH110" i="13"/>
  <c r="BI110" i="13"/>
  <c r="BJ110" i="13"/>
  <c r="BK110" i="13"/>
  <c r="BL110" i="13"/>
  <c r="BM110" i="13"/>
  <c r="Y110" i="13"/>
  <c r="AJ29" i="13" l="1"/>
  <c r="M61" i="13" l="1"/>
  <c r="Q61" i="13" s="1"/>
  <c r="X36" i="13" l="1"/>
  <c r="AN36" i="13"/>
  <c r="AL36" i="13"/>
  <c r="BO37" i="13"/>
  <c r="BN37" i="13"/>
  <c r="O37" i="13"/>
  <c r="G37" i="13"/>
  <c r="Q37" i="13" s="1"/>
  <c r="Q71" i="13"/>
  <c r="AT45" i="13"/>
  <c r="AR45" i="13"/>
  <c r="AP45" i="13"/>
  <c r="AA71" i="13"/>
  <c r="Z71" i="13"/>
  <c r="AD96" i="13"/>
  <c r="BN96" i="13" s="1"/>
  <c r="BO96" i="13"/>
  <c r="Q96" i="13"/>
  <c r="AJ49" i="13"/>
  <c r="AI72" i="13"/>
  <c r="BO72" i="13" s="1"/>
  <c r="AH72" i="13"/>
  <c r="BN72" i="13" s="1"/>
  <c r="AI71" i="13"/>
  <c r="AH71" i="13"/>
  <c r="BO22" i="13"/>
  <c r="BN22" i="13"/>
  <c r="O22" i="13"/>
  <c r="G22" i="13"/>
  <c r="Q22" i="13" s="1"/>
  <c r="Q79" i="13" l="1"/>
  <c r="BO71" i="13"/>
  <c r="BO79" i="13"/>
  <c r="BW79" i="13" s="1"/>
  <c r="BN101" i="13"/>
  <c r="M101" i="13"/>
  <c r="Q101" i="13" s="1"/>
  <c r="BN71" i="13"/>
  <c r="BN74" i="13"/>
  <c r="BO61" i="13"/>
  <c r="BN61" i="13"/>
  <c r="AK50" i="13"/>
  <c r="AJ50" i="13"/>
  <c r="AJ110" i="13" s="1"/>
  <c r="AF50" i="13"/>
  <c r="AF110" i="13" s="1"/>
  <c r="AA50" i="13"/>
  <c r="Z50" i="13"/>
  <c r="AD49" i="13"/>
  <c r="AE49" i="13"/>
  <c r="AK49" i="13"/>
  <c r="O50" i="13"/>
  <c r="G50" i="13"/>
  <c r="O49" i="13"/>
  <c r="M49" i="13"/>
  <c r="G49" i="13"/>
  <c r="AI70" i="13"/>
  <c r="BO70" i="13" s="1"/>
  <c r="AH70" i="13"/>
  <c r="BN70" i="13" s="1"/>
  <c r="Q13" i="13"/>
  <c r="Q14" i="13"/>
  <c r="Q15" i="13"/>
  <c r="Q16" i="13"/>
  <c r="O70" i="13"/>
  <c r="O69" i="13"/>
  <c r="O68" i="13"/>
  <c r="BN100" i="13"/>
  <c r="M100" i="13"/>
  <c r="Q100" i="13" s="1"/>
  <c r="AK110" i="13" l="1"/>
  <c r="BN50" i="13"/>
  <c r="BN49" i="13"/>
  <c r="BO49" i="13"/>
  <c r="BO50" i="13"/>
  <c r="Q49" i="13"/>
  <c r="Q50" i="13"/>
  <c r="AD56" i="13"/>
  <c r="AE55" i="13"/>
  <c r="AD55" i="13"/>
  <c r="BN95" i="13" l="1"/>
  <c r="BN94" i="13"/>
  <c r="M95" i="13"/>
  <c r="Q95" i="13" s="1"/>
  <c r="M94" i="13"/>
  <c r="Q94" i="13" s="1"/>
  <c r="BO69" i="13"/>
  <c r="BW69" i="13" s="1"/>
  <c r="BN69" i="13"/>
  <c r="BO68" i="13"/>
  <c r="BW68" i="13" s="1"/>
  <c r="BN68" i="13"/>
  <c r="BO60" i="13"/>
  <c r="BW60" i="13" s="1"/>
  <c r="BN60" i="13"/>
  <c r="O60" i="13"/>
  <c r="G60" i="13"/>
  <c r="BN93" i="13"/>
  <c r="M93" i="13"/>
  <c r="G93" i="13"/>
  <c r="AV110" i="13"/>
  <c r="X110" i="13"/>
  <c r="BN67" i="13"/>
  <c r="BO67" i="13"/>
  <c r="BW67" i="13" s="1"/>
  <c r="Q60" i="13" l="1"/>
  <c r="Q93" i="13"/>
  <c r="BN16" i="13"/>
  <c r="BO73" i="13"/>
  <c r="BW73" i="13" s="1"/>
  <c r="BN73" i="13"/>
  <c r="AC110" i="13"/>
  <c r="AB110" i="13"/>
  <c r="AS56" i="13"/>
  <c r="AR56" i="13"/>
  <c r="AQ56" i="13"/>
  <c r="AP56" i="13"/>
  <c r="AH10" i="13"/>
  <c r="AQ57" i="13"/>
  <c r="AP57" i="13"/>
  <c r="AA59" i="13"/>
  <c r="Z59" i="13"/>
  <c r="AI14" i="13"/>
  <c r="AH14" i="13"/>
  <c r="Z14" i="13"/>
  <c r="BO16" i="13"/>
  <c r="BW16" i="13" s="1"/>
  <c r="O67" i="13" l="1"/>
  <c r="O66" i="13"/>
  <c r="BO13" i="13"/>
  <c r="BW13" i="13" s="1"/>
  <c r="BO14" i="13"/>
  <c r="BW14" i="13" s="1"/>
  <c r="BO15" i="13"/>
  <c r="BW15" i="13" s="1"/>
  <c r="BN20" i="13"/>
  <c r="BN15" i="13"/>
  <c r="BN14" i="13"/>
  <c r="BN13" i="13"/>
  <c r="BN11" i="13"/>
  <c r="BN10" i="13"/>
  <c r="M6" i="13"/>
  <c r="O21" i="13"/>
  <c r="O6" i="13"/>
  <c r="O7" i="13"/>
  <c r="O8" i="13"/>
  <c r="O9" i="13"/>
  <c r="O10" i="13"/>
  <c r="O11" i="13"/>
  <c r="O12" i="13"/>
  <c r="O13" i="13"/>
  <c r="O14" i="13"/>
  <c r="O20" i="13"/>
  <c r="O26" i="13"/>
  <c r="O32" i="13"/>
  <c r="O33" i="13"/>
  <c r="O34" i="13"/>
  <c r="O35" i="13"/>
  <c r="O36" i="13"/>
  <c r="O38" i="13"/>
  <c r="O40" i="13"/>
  <c r="O41" i="13"/>
  <c r="O42" i="13"/>
  <c r="O43" i="13"/>
  <c r="O44" i="13"/>
  <c r="O45" i="13"/>
  <c r="O46" i="13"/>
  <c r="O47" i="13"/>
  <c r="O48" i="13"/>
  <c r="O51" i="13"/>
  <c r="O52" i="13"/>
  <c r="O53" i="13"/>
  <c r="O54" i="13"/>
  <c r="O55" i="13"/>
  <c r="O56" i="13"/>
  <c r="O57" i="13"/>
  <c r="O58" i="13"/>
  <c r="O59" i="13"/>
  <c r="O73" i="13"/>
  <c r="O79" i="13"/>
  <c r="O80" i="13"/>
  <c r="O81" i="13"/>
  <c r="O82" i="13"/>
  <c r="O85" i="13"/>
  <c r="O86" i="13"/>
  <c r="O88" i="13"/>
  <c r="O89" i="13"/>
  <c r="O5" i="13"/>
  <c r="BN92" i="13" l="1"/>
  <c r="M92" i="13"/>
  <c r="G92" i="13"/>
  <c r="M43" i="13"/>
  <c r="Q92" i="13" l="1"/>
  <c r="AE9" i="13"/>
  <c r="AD9" i="13"/>
  <c r="BO56" i="13"/>
  <c r="BW56" i="13" s="1"/>
  <c r="BN56" i="13"/>
  <c r="BN91" i="13"/>
  <c r="M91" i="13"/>
  <c r="G91" i="13"/>
  <c r="BN89" i="13"/>
  <c r="M89" i="13"/>
  <c r="G89" i="13"/>
  <c r="BO59" i="13"/>
  <c r="BW59" i="13" s="1"/>
  <c r="BN59" i="13"/>
  <c r="G59" i="13"/>
  <c r="BN88" i="13"/>
  <c r="M88" i="13"/>
  <c r="G88" i="13"/>
  <c r="AS44" i="13"/>
  <c r="AR44" i="13"/>
  <c r="AQ44" i="13"/>
  <c r="AP44" i="13"/>
  <c r="Q91" i="13" l="1"/>
  <c r="Q59" i="13"/>
  <c r="Q88" i="13"/>
  <c r="Q89" i="13"/>
  <c r="AA9" i="13"/>
  <c r="Z9" i="13"/>
  <c r="BN55" i="13"/>
  <c r="G12" i="13"/>
  <c r="Q12" i="13" s="1"/>
  <c r="BO11" i="13"/>
  <c r="BW11" i="13" s="1"/>
  <c r="G11" i="13"/>
  <c r="Q11" i="13" s="1"/>
  <c r="G10" i="13"/>
  <c r="BO10" i="13"/>
  <c r="BW10" i="13" s="1"/>
  <c r="BO55" i="13"/>
  <c r="BW55" i="13" s="1"/>
  <c r="BO58" i="13"/>
  <c r="BW58" i="13" s="1"/>
  <c r="BN58" i="13"/>
  <c r="G58" i="13"/>
  <c r="BN86" i="13"/>
  <c r="M86" i="13"/>
  <c r="G86" i="13"/>
  <c r="BN85" i="13"/>
  <c r="M85" i="13"/>
  <c r="G85" i="13"/>
  <c r="BN82" i="13"/>
  <c r="M82" i="13"/>
  <c r="G82" i="13"/>
  <c r="BO66" i="13"/>
  <c r="BO74" i="13"/>
  <c r="BO80" i="13"/>
  <c r="BW80" i="13" s="1"/>
  <c r="BO81" i="13"/>
  <c r="BW81" i="13" s="1"/>
  <c r="BO109" i="13"/>
  <c r="BN81" i="13"/>
  <c r="M81" i="13"/>
  <c r="G81" i="13"/>
  <c r="BN80" i="13"/>
  <c r="M80" i="13"/>
  <c r="G80" i="13"/>
  <c r="BN79" i="13"/>
  <c r="AE41" i="13"/>
  <c r="AD41" i="13"/>
  <c r="AH21" i="13"/>
  <c r="AH8" i="13"/>
  <c r="BN12" i="13" l="1"/>
  <c r="BO12" i="13"/>
  <c r="BW12" i="13" s="1"/>
  <c r="Q10" i="13"/>
  <c r="Q58" i="13"/>
  <c r="Q86" i="13"/>
  <c r="Q81" i="13"/>
  <c r="Q85" i="13"/>
  <c r="Q80" i="13"/>
  <c r="Q82" i="13"/>
  <c r="AA21" i="13" l="1"/>
  <c r="Z21" i="13"/>
  <c r="BO53" i="13"/>
  <c r="BO54" i="13"/>
  <c r="BW54" i="13" s="1"/>
  <c r="BO57" i="13"/>
  <c r="BW57" i="13" s="1"/>
  <c r="AU44" i="13"/>
  <c r="AU110" i="13" s="1"/>
  <c r="AT44" i="13"/>
  <c r="AT110" i="13" s="1"/>
  <c r="AO44" i="13"/>
  <c r="AO110" i="13" s="1"/>
  <c r="AN44" i="13"/>
  <c r="AN110" i="13" s="1"/>
  <c r="AM44" i="13"/>
  <c r="AM110" i="13" s="1"/>
  <c r="AL44" i="13"/>
  <c r="AL110" i="13" s="1"/>
  <c r="BO9" i="13" l="1"/>
  <c r="BW9" i="13" s="1"/>
  <c r="BN9" i="13"/>
  <c r="G9" i="13"/>
  <c r="BO52" i="13"/>
  <c r="BW52" i="13" s="1"/>
  <c r="BN52" i="13"/>
  <c r="G52" i="13"/>
  <c r="AR8" i="13"/>
  <c r="AQ8" i="13"/>
  <c r="AP6" i="13" s="1"/>
  <c r="AP8" i="13"/>
  <c r="AA8" i="13"/>
  <c r="AA110" i="13" s="1"/>
  <c r="Z8" i="13"/>
  <c r="Z110" i="13" s="1"/>
  <c r="Q9" i="13" l="1"/>
  <c r="Q52" i="13"/>
  <c r="AS46" i="13"/>
  <c r="AS110" i="13" s="1"/>
  <c r="AR46" i="13"/>
  <c r="AR110" i="13" s="1"/>
  <c r="AQ46" i="13"/>
  <c r="AQ110" i="13" s="1"/>
  <c r="AP46" i="13"/>
  <c r="AP110" i="13" l="1"/>
  <c r="AI7" i="13"/>
  <c r="AH7" i="13"/>
  <c r="AH110" i="13" s="1"/>
  <c r="AI8" i="13"/>
  <c r="BO44" i="13"/>
  <c r="BW44" i="13" s="1"/>
  <c r="BN44" i="13"/>
  <c r="G44" i="13"/>
  <c r="M74" i="13"/>
  <c r="G74" i="13"/>
  <c r="G73" i="13"/>
  <c r="Q73" i="13" s="1"/>
  <c r="BN66" i="13"/>
  <c r="M66" i="13"/>
  <c r="G66" i="13"/>
  <c r="BW53" i="13"/>
  <c r="AI110" i="13" l="1"/>
  <c r="Q44" i="13"/>
  <c r="Q74" i="13"/>
  <c r="Q66" i="13"/>
  <c r="BO46" i="13"/>
  <c r="BW46" i="13" s="1"/>
  <c r="G46" i="13"/>
  <c r="BO35" i="13"/>
  <c r="BW35" i="13" s="1"/>
  <c r="BN35" i="13"/>
  <c r="G35" i="13"/>
  <c r="BO41" i="13"/>
  <c r="BW41" i="13" s="1"/>
  <c r="BN41" i="13"/>
  <c r="G41" i="13"/>
  <c r="BN54" i="13"/>
  <c r="G54" i="13"/>
  <c r="BN53" i="13"/>
  <c r="M53" i="13"/>
  <c r="G53" i="13"/>
  <c r="BN57" i="13"/>
  <c r="G57" i="13"/>
  <c r="M48" i="13"/>
  <c r="M47" i="13"/>
  <c r="M45" i="13"/>
  <c r="M40" i="13"/>
  <c r="M38" i="13"/>
  <c r="M36" i="13"/>
  <c r="M31" i="13"/>
  <c r="M30" i="13"/>
  <c r="M29" i="13"/>
  <c r="M27" i="13"/>
  <c r="M26" i="13"/>
  <c r="Q7" i="13"/>
  <c r="M5" i="13"/>
  <c r="BO51" i="13"/>
  <c r="BW51" i="13" s="1"/>
  <c r="BO48" i="13"/>
  <c r="BW48" i="13" s="1"/>
  <c r="BO47" i="13"/>
  <c r="BW47" i="13" s="1"/>
  <c r="BO45" i="13"/>
  <c r="BW45" i="13" s="1"/>
  <c r="BO43" i="13"/>
  <c r="BW43" i="13" s="1"/>
  <c r="BO42" i="13"/>
  <c r="BW42" i="13" s="1"/>
  <c r="BO40" i="13"/>
  <c r="BW40" i="13" s="1"/>
  <c r="BO38" i="13"/>
  <c r="BW38" i="13" s="1"/>
  <c r="BO36" i="13"/>
  <c r="BW36" i="13" s="1"/>
  <c r="BO34" i="13"/>
  <c r="BW34" i="13" s="1"/>
  <c r="BO33" i="13"/>
  <c r="BW33" i="13" s="1"/>
  <c r="BO32" i="13"/>
  <c r="BW32" i="13" s="1"/>
  <c r="BO31" i="13"/>
  <c r="BW31" i="13" s="1"/>
  <c r="BO30" i="13"/>
  <c r="BW30" i="13" s="1"/>
  <c r="BO29" i="13"/>
  <c r="BW29" i="13" s="1"/>
  <c r="BO27" i="13"/>
  <c r="BW27" i="13" s="1"/>
  <c r="BO26" i="13"/>
  <c r="BW26" i="13" s="1"/>
  <c r="BO21" i="13"/>
  <c r="BW21" i="13" s="1"/>
  <c r="BO20" i="13"/>
  <c r="BO7" i="13"/>
  <c r="BW7" i="13" s="1"/>
  <c r="BO6" i="13"/>
  <c r="BN51" i="13"/>
  <c r="BN48" i="13"/>
  <c r="BN47" i="13"/>
  <c r="BN42" i="13"/>
  <c r="BN40" i="13"/>
  <c r="BN38" i="13"/>
  <c r="BN36" i="13"/>
  <c r="BN34" i="13"/>
  <c r="BN33" i="13"/>
  <c r="BN32" i="13"/>
  <c r="BN31" i="13"/>
  <c r="BN30" i="13"/>
  <c r="BN29" i="13"/>
  <c r="BN27" i="13"/>
  <c r="BN26" i="13"/>
  <c r="BN21" i="13"/>
  <c r="BN7" i="13"/>
  <c r="BW6" i="13" l="1"/>
  <c r="BN46" i="13"/>
  <c r="Q46" i="13"/>
  <c r="BN45" i="13"/>
  <c r="Q35" i="13"/>
  <c r="Q41" i="13"/>
  <c r="Q53" i="13"/>
  <c r="Q54" i="13"/>
  <c r="Q57" i="13"/>
  <c r="G42" i="13"/>
  <c r="Q42" i="13" s="1"/>
  <c r="AD8" i="13"/>
  <c r="AE8" i="13"/>
  <c r="BN6" i="13" s="1"/>
  <c r="G34" i="13"/>
  <c r="Q34" i="13" s="1"/>
  <c r="G33" i="13"/>
  <c r="Q33" i="13" s="1"/>
  <c r="G32" i="13"/>
  <c r="Q32" i="13" s="1"/>
  <c r="AE110" i="13" l="1"/>
  <c r="BO8" i="13"/>
  <c r="BN8" i="13"/>
  <c r="G21" i="13"/>
  <c r="Q21" i="13" s="1"/>
  <c r="G8" i="13"/>
  <c r="Q8" i="13" s="1"/>
  <c r="G7" i="13"/>
  <c r="AD110" i="13" l="1"/>
  <c r="BW8" i="13"/>
  <c r="BW110" i="13" s="1"/>
  <c r="B13" i="15" s="1"/>
  <c r="G51" i="13"/>
  <c r="Q51" i="13" s="1"/>
  <c r="BN5" i="13"/>
  <c r="BN110" i="13" s="1"/>
  <c r="B15" i="15" l="1"/>
  <c r="B8" i="15"/>
  <c r="G48" i="13"/>
  <c r="Q48" i="13" s="1"/>
  <c r="G47" i="13"/>
  <c r="Q47" i="13" s="1"/>
  <c r="G45" i="13"/>
  <c r="Q45" i="13" s="1"/>
  <c r="G43" i="13"/>
  <c r="Q43" i="13" s="1"/>
  <c r="G29" i="13"/>
  <c r="G30" i="13"/>
  <c r="G31" i="13"/>
  <c r="G36" i="13"/>
  <c r="G38" i="13"/>
  <c r="G40" i="13"/>
  <c r="G20" i="13"/>
  <c r="Q20" i="13" s="1"/>
  <c r="G26" i="13"/>
  <c r="Q26" i="13" s="1"/>
  <c r="G27" i="13"/>
  <c r="Q27" i="13" s="1"/>
  <c r="G6" i="13"/>
  <c r="G5" i="13"/>
  <c r="Q5" i="13" s="1"/>
  <c r="Q40" i="13" l="1"/>
  <c r="Q38" i="13"/>
  <c r="Q36" i="13"/>
  <c r="Q31" i="13"/>
  <c r="Q30" i="13"/>
  <c r="Q29" i="13"/>
  <c r="BO5" i="13"/>
  <c r="BO110" i="13" s="1"/>
  <c r="Q6" i="13"/>
  <c r="B9" i="15" l="1"/>
  <c r="B16" i="15" s="1"/>
  <c r="B17" i="15" s="1"/>
  <c r="C17" i="15" s="1"/>
  <c r="AB125" i="13"/>
  <c r="BO120" i="13" l="1"/>
  <c r="X132" i="13" l="1"/>
  <c r="B12" i="15" l="1"/>
  <c r="D27" i="15"/>
  <c r="D25" i="15"/>
  <c r="D26" i="15" l="1"/>
  <c r="C26" i="15"/>
  <c r="F31" i="15" l="1"/>
  <c r="E31" i="15"/>
  <c r="B31" i="15"/>
  <c r="D31" i="15"/>
  <c r="B10" i="15" l="1"/>
  <c r="C8" i="15"/>
  <c r="B11" i="15" l="1"/>
  <c r="C11" i="15" s="1"/>
  <c r="C9" i="15"/>
  <c r="C13" i="15"/>
  <c r="B14" i="15"/>
  <c r="C14" i="15" l="1"/>
  <c r="C15" i="15"/>
  <c r="C16" i="15" l="1"/>
  <c r="C10" i="15" l="1"/>
  <c r="C31" i="15" l="1"/>
  <c r="C1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6336F5E4-C287-42B1-AAB1-2B71299634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MOC-40 DAYS, BP/OFF LOAD-90DAYS</t>
        </r>
      </text>
    </comment>
    <comment ref="BP2" authorId="0" shapeId="0" xr:uid="{F64C35E0-740D-4D92-982B-F7B2B446F0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be planned/Planned/Finished</t>
        </r>
      </text>
    </comment>
    <comment ref="BR2" authorId="0" shapeId="0" xr:uid="{1EEC4334-D981-47A6-A596-828ECD64DA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Pending/Invoiced</t>
        </r>
      </text>
    </comment>
    <comment ref="BS2" authorId="0" shapeId="0" xr:uid="{92314083-8307-4174-BDDF-8A0701AF71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Pending/Invoiced/Work in progress/Hold</t>
        </r>
      </text>
    </comment>
    <comment ref="BW2" authorId="0" shapeId="0" xr:uid="{02452EC7-FCC2-459A-8276-7CBCAF471B5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manul type -invoiced vale</t>
        </r>
      </text>
    </comment>
    <comment ref="BY2" authorId="0" shapeId="0" xr:uid="{026849C7-9B7B-4239-985B-BAE1151630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Pending/Done</t>
        </r>
      </text>
    </comment>
    <comment ref="BZ2" authorId="0" shapeId="0" xr:uid="{DEB11BB5-469D-444C-BE39-5A1CD72F55B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Pending/Invoiced/Work in progress/Hold</t>
        </r>
      </text>
    </comment>
  </commentList>
</comments>
</file>

<file path=xl/sharedStrings.xml><?xml version="1.0" encoding="utf-8"?>
<sst xmlns="http://schemas.openxmlformats.org/spreadsheetml/2006/main" count="2289" uniqueCount="479">
  <si>
    <t>Issued</t>
  </si>
  <si>
    <t>Comp.</t>
  </si>
  <si>
    <t>Value</t>
  </si>
  <si>
    <t>Completed</t>
  </si>
  <si>
    <t>KM-Invoiced AMT</t>
  </si>
  <si>
    <t>KM-CWR</t>
  </si>
  <si>
    <t>Location</t>
  </si>
  <si>
    <t>CWR No.</t>
  </si>
  <si>
    <t>Received Date</t>
  </si>
  <si>
    <t>RO Number</t>
  </si>
  <si>
    <t>SS no</t>
  </si>
  <si>
    <t>CWR Start Date</t>
  </si>
  <si>
    <t>CWR Completion Date</t>
  </si>
  <si>
    <t>Invoice Status</t>
  </si>
  <si>
    <t>Total Days</t>
  </si>
  <si>
    <t xml:space="preserve">PROJECT : </t>
  </si>
  <si>
    <t>DETAILS</t>
  </si>
  <si>
    <t>AMOUNT</t>
  </si>
  <si>
    <t>%</t>
  </si>
  <si>
    <t>TOTAL ISSUED VALUE</t>
  </si>
  <si>
    <t>TOTAL COMPLETED VALUE</t>
  </si>
  <si>
    <t>BALANCE TO BE ISSUED</t>
  </si>
  <si>
    <t>BALANCE TO BE INVOICED</t>
  </si>
  <si>
    <t>Project Start Date</t>
  </si>
  <si>
    <t>Project End Date</t>
  </si>
  <si>
    <t>TOTAL CONTRACT VALUE (Original)</t>
  </si>
  <si>
    <t>CWR Wise Details</t>
  </si>
  <si>
    <t>Total CWR Issued By KM (Nos)</t>
  </si>
  <si>
    <t>Cancelled/Return/Not issued (Nos)</t>
  </si>
  <si>
    <t>Invoiced (Nos)</t>
  </si>
  <si>
    <t>Ready For Invoice (Nos)</t>
  </si>
  <si>
    <t>Work Completed (Nos)</t>
  </si>
  <si>
    <t>Not Started CWR (Nos)</t>
  </si>
  <si>
    <t>Work In Progress (Nos)</t>
  </si>
  <si>
    <t>No of CWR</t>
  </si>
  <si>
    <t>Final Status</t>
  </si>
  <si>
    <t>Work to be Executed</t>
  </si>
  <si>
    <t>RO approved Date</t>
  </si>
  <si>
    <t>CWR</t>
  </si>
  <si>
    <t>BALANCE VALUE AS OF CONTRACT</t>
  </si>
  <si>
    <t>TOTAL INVOICED VALUE FROM CONTRACT</t>
  </si>
  <si>
    <t xml:space="preserve">READY FOR INVOICE </t>
  </si>
  <si>
    <t>Pending</t>
  </si>
  <si>
    <t>SITE STATUS</t>
  </si>
  <si>
    <t>RO STATUS</t>
  </si>
  <si>
    <t>Type of job</t>
  </si>
  <si>
    <t>SL</t>
  </si>
  <si>
    <t xml:space="preserve">PROJECT SUMMARY REPORT </t>
  </si>
  <si>
    <t>Work Order</t>
  </si>
  <si>
    <t>Invoice No. #</t>
  </si>
  <si>
    <t>Scheme Number</t>
  </si>
  <si>
    <t>1.1 - Excavation HV/PILOT</t>
  </si>
  <si>
    <t>1.2 Road crossing duct Exisiting</t>
  </si>
  <si>
    <t>1.3 Roadcrossing duct future</t>
  </si>
  <si>
    <t>1.4 Reinstatement</t>
  </si>
  <si>
    <t>2.1 Termination HV</t>
  </si>
  <si>
    <t>2.2 Termination Pilot &amp;Marshelling box</t>
  </si>
  <si>
    <t>2.3 Supply 11 kV ST Joint</t>
  </si>
  <si>
    <t>3.1 Commisioning Test</t>
  </si>
  <si>
    <t>4.1 Supply and install 40 mm HDPE Pipe</t>
  </si>
  <si>
    <t>2.4 Supply Pilot ST Joint</t>
  </si>
  <si>
    <t>Baladiya Permit</t>
  </si>
  <si>
    <t>-</t>
  </si>
  <si>
    <t>Scheme Closure Form</t>
  </si>
  <si>
    <t>EEC 61526</t>
  </si>
  <si>
    <t>EEC 61541</t>
  </si>
  <si>
    <t>EEC 61542</t>
  </si>
  <si>
    <t>EEC 61543</t>
  </si>
  <si>
    <t>EEC 75159</t>
  </si>
  <si>
    <t>EEC 61528</t>
  </si>
  <si>
    <t>EEC 61531</t>
  </si>
  <si>
    <t>EEC 61527</t>
  </si>
  <si>
    <t>EEC 61532</t>
  </si>
  <si>
    <t>EEM 61616</t>
  </si>
  <si>
    <t>E98116124</t>
  </si>
  <si>
    <t>Work in Progress</t>
  </si>
  <si>
    <t>Details</t>
  </si>
  <si>
    <t>Issued Value</t>
  </si>
  <si>
    <t>Completed Value</t>
  </si>
  <si>
    <t>Issued Length</t>
  </si>
  <si>
    <t>Completed Length</t>
  </si>
  <si>
    <t>Remarks</t>
  </si>
  <si>
    <t>TOTAL INVOICED VALUE AS OF (01-10-23)</t>
  </si>
  <si>
    <t>RO End Date</t>
  </si>
  <si>
    <t>Trench Inspection Date</t>
  </si>
  <si>
    <t>Final Site Status</t>
  </si>
  <si>
    <t>1A-624-2024</t>
  </si>
  <si>
    <t>1A-129-2025</t>
  </si>
  <si>
    <t>CONTRACT # GTC=1236/2024-11KV Reinforcement works -BOQ-MASTER STATUS</t>
  </si>
  <si>
    <t>13815</t>
  </si>
  <si>
    <t>1A-696-2025</t>
  </si>
  <si>
    <t>24031</t>
  </si>
  <si>
    <t>23510</t>
  </si>
  <si>
    <t>1A-14-2025</t>
  </si>
  <si>
    <t>1A-749-2025</t>
  </si>
  <si>
    <t>4.2  FO CABLE BLOWN</t>
  </si>
  <si>
    <t>EES 141860</t>
  </si>
  <si>
    <t>4.3  Fiber Joint</t>
  </si>
  <si>
    <t>E67141444</t>
  </si>
  <si>
    <t>4.4 fo termination 24c</t>
  </si>
  <si>
    <t>Eec 158945</t>
  </si>
  <si>
    <t>4.5 OTB SS</t>
  </si>
  <si>
    <t>EES 141863</t>
  </si>
  <si>
    <t>4.6 OTB PRY</t>
  </si>
  <si>
    <t>EEC 158946</t>
  </si>
  <si>
    <t>4.7 JRC-4 Manhole</t>
  </si>
  <si>
    <t>4.8 Patch Chord</t>
  </si>
  <si>
    <t>4.9 Testing of 24c fo</t>
  </si>
  <si>
    <t>1.5 Green special tiles</t>
  </si>
  <si>
    <t>EEC 154309</t>
  </si>
  <si>
    <t>1.6 Phase-2</t>
  </si>
  <si>
    <t>1.7 Supply and install HDPE Pipe(2x150mm)</t>
  </si>
  <si>
    <t>EEC 158944</t>
  </si>
  <si>
    <t>ESs 141864</t>
  </si>
  <si>
    <t>EEC 158947</t>
  </si>
  <si>
    <t>EES 141865</t>
  </si>
  <si>
    <t>Cancelled</t>
  </si>
  <si>
    <t>21576</t>
  </si>
  <si>
    <t>1A-183-2025</t>
  </si>
  <si>
    <t>17091</t>
  </si>
  <si>
    <t>18307</t>
  </si>
  <si>
    <t>17721</t>
  </si>
  <si>
    <t>1A-3597-2020</t>
  </si>
  <si>
    <t>1A-172-2024</t>
  </si>
  <si>
    <t>1A-225-2023</t>
  </si>
  <si>
    <t>1A-339-2023</t>
  </si>
  <si>
    <t>P086</t>
  </si>
  <si>
    <t>1A-26-2014</t>
  </si>
  <si>
    <t>10026</t>
  </si>
  <si>
    <t>4-179-2022</t>
  </si>
  <si>
    <t>10829</t>
  </si>
  <si>
    <t>29-253-2022</t>
  </si>
  <si>
    <t>39552</t>
  </si>
  <si>
    <t>1A-252-2025</t>
  </si>
  <si>
    <t>1206</t>
  </si>
  <si>
    <t>1A-881-2025</t>
  </si>
  <si>
    <t>9790</t>
  </si>
  <si>
    <t>GTC-1236/24</t>
  </si>
  <si>
    <t>1A-910-2025</t>
  </si>
  <si>
    <t>37762</t>
  </si>
  <si>
    <t>25231</t>
  </si>
  <si>
    <t>1A-78-2024</t>
  </si>
  <si>
    <t>2007</t>
  </si>
  <si>
    <t>1A-7-2024</t>
  </si>
  <si>
    <t>4481</t>
  </si>
  <si>
    <t>1A-598-2025</t>
  </si>
  <si>
    <t>1A-31-2021</t>
  </si>
  <si>
    <t>1A-792/2025</t>
  </si>
  <si>
    <t>P599</t>
  </si>
  <si>
    <t>4 P1</t>
  </si>
  <si>
    <t>1A-904-2025</t>
  </si>
  <si>
    <t>11956</t>
  </si>
  <si>
    <t>1A-198-2024</t>
  </si>
  <si>
    <t>10-P1</t>
  </si>
  <si>
    <t>10-P2</t>
  </si>
  <si>
    <t>10-P3</t>
  </si>
  <si>
    <t>PENDING</t>
  </si>
  <si>
    <t>Work In Progress</t>
  </si>
  <si>
    <t>2-P1</t>
  </si>
  <si>
    <t>2-P2</t>
  </si>
  <si>
    <t>15-P1</t>
  </si>
  <si>
    <t>N/A</t>
  </si>
  <si>
    <t>1A-829/2025</t>
  </si>
  <si>
    <t>39278</t>
  </si>
  <si>
    <t>1A-25/2019</t>
  </si>
  <si>
    <t>P417</t>
  </si>
  <si>
    <t>Al Doha Al Jadeeda</t>
  </si>
  <si>
    <t>1A-866/2025</t>
  </si>
  <si>
    <t>2382</t>
  </si>
  <si>
    <t>1A-869/2025</t>
  </si>
  <si>
    <t>19523</t>
  </si>
  <si>
    <t>1A-917/2025</t>
  </si>
  <si>
    <t>35928</t>
  </si>
  <si>
    <t>1A-1371/2021</t>
  </si>
  <si>
    <t>35268</t>
  </si>
  <si>
    <t>10-P4</t>
  </si>
  <si>
    <t>18-P1</t>
  </si>
  <si>
    <t>Invoiced</t>
  </si>
  <si>
    <t>INV-01</t>
  </si>
  <si>
    <t>1A-624/2024</t>
  </si>
  <si>
    <t>1A-908/2025</t>
  </si>
  <si>
    <t>1A-877/2025</t>
  </si>
  <si>
    <t>21134</t>
  </si>
  <si>
    <t>1A-870/2025</t>
  </si>
  <si>
    <t>5418</t>
  </si>
  <si>
    <t>1A-575-2025</t>
  </si>
  <si>
    <t>5834</t>
  </si>
  <si>
    <t>23-P2</t>
  </si>
  <si>
    <t>2-P3</t>
  </si>
  <si>
    <t>17-P1</t>
  </si>
  <si>
    <t>Hold By KM</t>
  </si>
  <si>
    <t>NA</t>
  </si>
  <si>
    <t>RO NA</t>
  </si>
  <si>
    <t>809996/ 812700</t>
  </si>
  <si>
    <t>23-P1 &amp; P2</t>
  </si>
  <si>
    <t>14-P1 &amp; P2</t>
  </si>
  <si>
    <t>1A-38/2020</t>
  </si>
  <si>
    <t>P412</t>
  </si>
  <si>
    <t>1A-1098/2025</t>
  </si>
  <si>
    <t>1A-19/2026</t>
  </si>
  <si>
    <t>Shared RO</t>
  </si>
  <si>
    <t>1A-882/2025</t>
  </si>
  <si>
    <t>13115</t>
  </si>
  <si>
    <t>1A-923/2025</t>
  </si>
  <si>
    <t>P273</t>
  </si>
  <si>
    <t>1A-661/2025</t>
  </si>
  <si>
    <t>10264</t>
  </si>
  <si>
    <t>28-P-1</t>
  </si>
  <si>
    <t>26-P-1</t>
  </si>
  <si>
    <t>2-P4</t>
  </si>
  <si>
    <t>2-P5</t>
  </si>
  <si>
    <t>2-P6</t>
  </si>
  <si>
    <t>28-P1</t>
  </si>
  <si>
    <t>1A-128/2026</t>
  </si>
  <si>
    <t>23390</t>
  </si>
  <si>
    <t>28-P-2</t>
  </si>
  <si>
    <t>1A-59/2026</t>
  </si>
  <si>
    <t>29510</t>
  </si>
  <si>
    <t>1A-364/2024</t>
  </si>
  <si>
    <t>0341</t>
  </si>
  <si>
    <t>26-P-2</t>
  </si>
  <si>
    <t>26-P1</t>
  </si>
  <si>
    <t>26-P2</t>
  </si>
  <si>
    <t>2-P7</t>
  </si>
  <si>
    <t>2-P8</t>
  </si>
  <si>
    <t>Project Summary</t>
  </si>
  <si>
    <t>Project Completed Work</t>
  </si>
  <si>
    <t>Project Work In Progress</t>
  </si>
  <si>
    <t>Project Pendings</t>
  </si>
  <si>
    <t>Invoice Duration</t>
  </si>
  <si>
    <t>Invoice Completed</t>
  </si>
  <si>
    <t>Completed Dates</t>
  </si>
  <si>
    <t>Monthly Progress</t>
  </si>
  <si>
    <t>Monthly Issued &amp; Completed Quantity</t>
  </si>
  <si>
    <t>CWR Monitoring</t>
  </si>
  <si>
    <t>RO Monitoring</t>
  </si>
  <si>
    <t>Billing Certificate No</t>
  </si>
  <si>
    <t>Backfilled Date/Reisntatement Date/Shut Down/Return Date/</t>
  </si>
  <si>
    <t>Date Type</t>
  </si>
  <si>
    <t>Reinstatement</t>
  </si>
  <si>
    <t>Backfilling</t>
  </si>
  <si>
    <t>KPI</t>
  </si>
  <si>
    <t>WCC Status</t>
  </si>
  <si>
    <t>Final Inspection Status</t>
  </si>
  <si>
    <t>Reinstatement Pending</t>
  </si>
  <si>
    <t>Backfilling Pending</t>
  </si>
  <si>
    <t>Cable Laying Pending</t>
  </si>
  <si>
    <t>Phase-2 Reinstatement Pending</t>
  </si>
  <si>
    <t>Phase-2 Reinstatement Rectification Pending</t>
  </si>
  <si>
    <t>Final R/I Rectification Pending</t>
  </si>
  <si>
    <t>Received</t>
  </si>
  <si>
    <t>Priority</t>
  </si>
  <si>
    <t>1A-958/2025</t>
  </si>
  <si>
    <t>P217</t>
  </si>
  <si>
    <t>location</t>
  </si>
  <si>
    <t>'Invoice Status</t>
  </si>
  <si>
    <t>'WCC Status</t>
  </si>
  <si>
    <t>'Final Inspection Status</t>
  </si>
  <si>
    <t>'Final Site Status</t>
  </si>
  <si>
    <t>Reinforcement Normal</t>
  </si>
  <si>
    <t xml:space="preserve">Low </t>
  </si>
  <si>
    <t>Required</t>
  </si>
  <si>
    <t>Work Not Started</t>
  </si>
  <si>
    <t>RI-Primary SS</t>
  </si>
  <si>
    <t>Medium</t>
  </si>
  <si>
    <t>Not Required</t>
  </si>
  <si>
    <t>RO Not Required</t>
  </si>
  <si>
    <t>Shut Down</t>
  </si>
  <si>
    <t>Scheme Normal</t>
  </si>
  <si>
    <t>High</t>
  </si>
  <si>
    <t>Closed</t>
  </si>
  <si>
    <t>Technical Verification</t>
  </si>
  <si>
    <t>RI-QE-Mesaieed</t>
  </si>
  <si>
    <t>Very High</t>
  </si>
  <si>
    <t>RI-QE-Dukhan</t>
  </si>
  <si>
    <t>Not Started</t>
  </si>
  <si>
    <t>Not Applied</t>
  </si>
  <si>
    <t>Scheme-QE-Mesaieed</t>
  </si>
  <si>
    <t>Scheme-QE-Dukhan</t>
  </si>
  <si>
    <t>Ready To Start</t>
  </si>
  <si>
    <t>RI-Load Flow</t>
  </si>
  <si>
    <t>Site Obstruction</t>
  </si>
  <si>
    <t>Zone</t>
  </si>
  <si>
    <t>Umm Slal</t>
  </si>
  <si>
    <t>Al Khulaifat</t>
  </si>
  <si>
    <t>New District of Doha</t>
  </si>
  <si>
    <t>Raudat Rashid</t>
  </si>
  <si>
    <t>Al Shahhniya</t>
  </si>
  <si>
    <t>Umm Bab</t>
  </si>
  <si>
    <t>Al Kheesa</t>
  </si>
  <si>
    <t>Al Kharara</t>
  </si>
  <si>
    <t>Al Wukair</t>
  </si>
  <si>
    <t>Murrah / Al Aziziya</t>
  </si>
  <si>
    <t>Al Aziziya</t>
  </si>
  <si>
    <t>Al Khulaifat Al Jadeeda</t>
  </si>
  <si>
    <t>Bin Omran</t>
  </si>
  <si>
    <t>Al Madar Al Qadeem</t>
  </si>
  <si>
    <t>Al Mansoura / Bin Dirham</t>
  </si>
  <si>
    <t>Al Nasraniya</t>
  </si>
  <si>
    <t>Umm Slal / Al Kharatiyat</t>
  </si>
  <si>
    <t>Al Matar Al Qadeem</t>
  </si>
  <si>
    <t>Najma</t>
  </si>
  <si>
    <t>Al Wakra</t>
  </si>
  <si>
    <t>Al Duhail</t>
  </si>
  <si>
    <t>Al Soudan South</t>
  </si>
  <si>
    <t>Dhukhan</t>
  </si>
  <si>
    <t>Fareeq Al Amir / Murayakh / Al Soud</t>
  </si>
  <si>
    <t>Al Ghanim Al Qadeem (South)</t>
  </si>
  <si>
    <t>New Markets</t>
  </si>
  <si>
    <t>Al Khor</t>
  </si>
  <si>
    <t>AL Khulaifat</t>
  </si>
  <si>
    <t>56</t>
  </si>
  <si>
    <t>66</t>
  </si>
  <si>
    <t>86</t>
  </si>
  <si>
    <t xml:space="preserve">AL Khulaifat </t>
  </si>
  <si>
    <t>71</t>
  </si>
  <si>
    <t>91</t>
  </si>
  <si>
    <t>92</t>
  </si>
  <si>
    <t>93</t>
  </si>
  <si>
    <t>82</t>
  </si>
  <si>
    <t>80</t>
  </si>
  <si>
    <t>84</t>
  </si>
  <si>
    <t>70</t>
  </si>
  <si>
    <t>95</t>
  </si>
  <si>
    <t>55</t>
  </si>
  <si>
    <t>37</t>
  </si>
  <si>
    <t>45</t>
  </si>
  <si>
    <t>25</t>
  </si>
  <si>
    <t>85</t>
  </si>
  <si>
    <t>26</t>
  </si>
  <si>
    <t>90</t>
  </si>
  <si>
    <t>30</t>
  </si>
  <si>
    <t>34</t>
  </si>
  <si>
    <t>54</t>
  </si>
  <si>
    <t>16</t>
  </si>
  <si>
    <t>07</t>
  </si>
  <si>
    <t>74</t>
  </si>
  <si>
    <t xml:space="preserve">Al Khor </t>
  </si>
  <si>
    <t xml:space="preserve">New Markets </t>
  </si>
  <si>
    <t xml:space="preserve">Fareeq Al Amir/Murayakh/Al Soud </t>
  </si>
  <si>
    <t xml:space="preserve">Dhukhan </t>
  </si>
  <si>
    <t xml:space="preserve">Al Soudan South </t>
  </si>
  <si>
    <t xml:space="preserve">Umm Slal </t>
  </si>
  <si>
    <t xml:space="preserve">Al Duhail </t>
  </si>
  <si>
    <t xml:space="preserve">Al Wakra </t>
  </si>
  <si>
    <t xml:space="preserve">Najma </t>
  </si>
  <si>
    <t xml:space="preserve">Al Matar Al Qadeem </t>
  </si>
  <si>
    <t xml:space="preserve">Umm Slal / Al Kharatiyat </t>
  </si>
  <si>
    <t xml:space="preserve">Al Nasraniya </t>
  </si>
  <si>
    <t xml:space="preserve">Al Mansoura/Bin Dirham </t>
  </si>
  <si>
    <t xml:space="preserve">Al Khulaifat Al Jadeeda </t>
  </si>
  <si>
    <t xml:space="preserve">Murrah / Al Aziziya </t>
  </si>
  <si>
    <t xml:space="preserve">Raudat Rashid </t>
  </si>
  <si>
    <t xml:space="preserve">Al Kheesa </t>
  </si>
  <si>
    <t xml:space="preserve">Al Kharara </t>
  </si>
  <si>
    <t>UMM BAB</t>
  </si>
  <si>
    <t xml:space="preserve">Al Shahhniya </t>
  </si>
  <si>
    <t xml:space="preserve">New District of Doha </t>
  </si>
  <si>
    <t>Returned</t>
  </si>
  <si>
    <t>Madinat Khalifa-South</t>
  </si>
  <si>
    <t>Mesaieed -Town</t>
  </si>
  <si>
    <t>Mesaieed-Industrial Area</t>
  </si>
  <si>
    <t>Al Ghanim Al Qadeem-South</t>
  </si>
  <si>
    <t>Mesaieed-Town</t>
  </si>
  <si>
    <t>31P-1</t>
  </si>
  <si>
    <t>35409</t>
  </si>
  <si>
    <t>31 P-1</t>
  </si>
  <si>
    <t>001</t>
  </si>
  <si>
    <t>002</t>
  </si>
  <si>
    <t>003</t>
  </si>
  <si>
    <t>004</t>
  </si>
  <si>
    <t>005</t>
  </si>
  <si>
    <t>006</t>
  </si>
  <si>
    <t>008</t>
  </si>
  <si>
    <t>007</t>
  </si>
  <si>
    <t>009</t>
  </si>
  <si>
    <t>010</t>
  </si>
  <si>
    <t>011</t>
  </si>
  <si>
    <t>012</t>
  </si>
  <si>
    <t>013</t>
  </si>
  <si>
    <t>2-P9</t>
  </si>
  <si>
    <t>821319/ 821401</t>
  </si>
  <si>
    <t>821173/ 821208</t>
  </si>
  <si>
    <t>In Review</t>
  </si>
  <si>
    <t>Waiting For TDP Drawing</t>
  </si>
  <si>
    <t>Approved/ Printed</t>
  </si>
  <si>
    <t>Pending Fees</t>
  </si>
  <si>
    <t>Started</t>
  </si>
  <si>
    <t>2-P10</t>
  </si>
  <si>
    <t>INV-02</t>
  </si>
  <si>
    <t>27-P1</t>
  </si>
  <si>
    <t>33-P1</t>
  </si>
  <si>
    <t>3</t>
  </si>
  <si>
    <t>1A127/2026</t>
  </si>
  <si>
    <t>3353</t>
  </si>
  <si>
    <t>29-P1</t>
  </si>
  <si>
    <t>32-P1</t>
  </si>
  <si>
    <t>31P-2</t>
  </si>
  <si>
    <t>31 P-2</t>
  </si>
  <si>
    <t>31P-3</t>
  </si>
  <si>
    <t>31 P-3</t>
  </si>
  <si>
    <t>1A-926-2025</t>
  </si>
  <si>
    <t>1A-42-2026</t>
  </si>
  <si>
    <t>8454</t>
  </si>
  <si>
    <t>P739</t>
  </si>
  <si>
    <t>75</t>
  </si>
  <si>
    <t>INV-03</t>
  </si>
  <si>
    <t>018</t>
  </si>
  <si>
    <t>Al Thakhira</t>
  </si>
  <si>
    <t>ROW</t>
  </si>
  <si>
    <t>809906/ 827885</t>
  </si>
  <si>
    <t>INV-04</t>
  </si>
  <si>
    <t>1A-248-2026</t>
  </si>
  <si>
    <t>15196</t>
  </si>
  <si>
    <t>Legtaifiyah</t>
  </si>
  <si>
    <t>1A-202-2026</t>
  </si>
  <si>
    <t>31/11/2026</t>
  </si>
  <si>
    <t>P728</t>
  </si>
  <si>
    <t>Old Airport</t>
  </si>
  <si>
    <t>48</t>
  </si>
  <si>
    <t>21-P1</t>
  </si>
  <si>
    <t>21-P2</t>
  </si>
  <si>
    <t>32-P2</t>
  </si>
  <si>
    <t>1A-265-2026</t>
  </si>
  <si>
    <t>INV-06</t>
  </si>
  <si>
    <t>INV-05</t>
  </si>
  <si>
    <t>4 P2</t>
  </si>
  <si>
    <t>32-P3</t>
  </si>
  <si>
    <t>48-P1</t>
  </si>
  <si>
    <t>4-P2</t>
  </si>
  <si>
    <t>29-P2</t>
  </si>
  <si>
    <t>11-SD</t>
  </si>
  <si>
    <t>12361</t>
  </si>
  <si>
    <t xml:space="preserve">4 Phase-2 </t>
  </si>
  <si>
    <t>4 P3</t>
  </si>
  <si>
    <t>P576</t>
  </si>
  <si>
    <t>4-P3</t>
  </si>
  <si>
    <t>48-P2</t>
  </si>
  <si>
    <t>INV-07</t>
  </si>
  <si>
    <t>4-PHASE-2</t>
  </si>
  <si>
    <t>48-P3</t>
  </si>
  <si>
    <t>34-P1</t>
  </si>
  <si>
    <t>29-P3</t>
  </si>
  <si>
    <t>INV-08</t>
  </si>
  <si>
    <t>1A-47-2013</t>
  </si>
  <si>
    <t>2-P11</t>
  </si>
  <si>
    <t xml:space="preserve">2-P11 </t>
  </si>
  <si>
    <t>2-P12</t>
  </si>
  <si>
    <t>29-P4</t>
  </si>
  <si>
    <t>38811</t>
  </si>
  <si>
    <t>Abu Nakhla/Mukainess</t>
  </si>
  <si>
    <t>81</t>
  </si>
  <si>
    <t/>
  </si>
  <si>
    <t>38 P1</t>
  </si>
  <si>
    <t>38-P1</t>
  </si>
  <si>
    <t>29-P2-Joints</t>
  </si>
  <si>
    <t>1A-214-2026</t>
  </si>
  <si>
    <t>48-P4</t>
  </si>
  <si>
    <t>34-P2</t>
  </si>
  <si>
    <t>12-P1</t>
  </si>
  <si>
    <t>42-P1</t>
  </si>
  <si>
    <t>816608/ 827265/ 836330</t>
  </si>
  <si>
    <t>INV-09</t>
  </si>
  <si>
    <t>29-P5</t>
  </si>
  <si>
    <t>4-P4</t>
  </si>
  <si>
    <t>40-P1</t>
  </si>
  <si>
    <t>2-P13</t>
  </si>
  <si>
    <t>821319/821401</t>
  </si>
  <si>
    <t>38 P2</t>
  </si>
  <si>
    <t>38-P2</t>
  </si>
  <si>
    <t>34-P3</t>
  </si>
  <si>
    <t>29-P6</t>
  </si>
  <si>
    <t>6-P1</t>
  </si>
  <si>
    <t>50-P1</t>
  </si>
  <si>
    <t>1A-269/2026</t>
  </si>
  <si>
    <t>9938</t>
  </si>
  <si>
    <t>Al Rayyan Al Jadeed/Muaither N</t>
  </si>
  <si>
    <t>34-P4</t>
  </si>
  <si>
    <t>Updated up to 12-09-26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</si>
</sst>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\-mmm\-yyyy;@"/>
    <numFmt numFmtId="166" formatCode="[$-409]mmm\-yy;@"/>
    <numFmt numFmtId="167" formatCode="[$-409]mmmm\-yy;@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u/>
      <sz val="18"/>
      <color theme="1"/>
      <name val="Arial Nova"/>
      <family val="2"/>
    </font>
    <font>
      <b/>
      <u/>
      <sz val="11"/>
      <color theme="1"/>
      <name val="Arial Nova"/>
      <family val="2"/>
    </font>
    <font>
      <b/>
      <sz val="14"/>
      <color theme="1"/>
      <name val="Arial Nova"/>
      <family val="2"/>
    </font>
    <font>
      <sz val="14"/>
      <color theme="1"/>
      <name val="Arial Nova"/>
      <family val="2"/>
    </font>
    <font>
      <b/>
      <sz val="13"/>
      <color theme="1"/>
      <name val="Arial Nova"/>
      <family val="2"/>
    </font>
    <font>
      <sz val="13"/>
      <color theme="1"/>
      <name val="Arial Nova"/>
      <family val="2"/>
    </font>
    <font>
      <sz val="13"/>
      <name val="Arial Nova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i/>
      <sz val="36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Font="1" applyBorder="1" applyAlignment="1">
      <alignment horizontal="center" vertical="center"/>
    </xf>
    <xf numFmtId="43" fontId="0" fillId="0" borderId="0" xfId="0" applyNumberFormat="1"/>
    <xf numFmtId="4" fontId="9" fillId="3" borderId="5" xfId="4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1" fillId="0" borderId="0" xfId="1" applyFont="1" applyBorder="1" applyAlignment="1">
      <alignment vertical="center"/>
    </xf>
    <xf numFmtId="0" fontId="7" fillId="0" borderId="0" xfId="0" applyFont="1" applyAlignment="1">
      <alignment horizontal="center" vertical="center" wrapText="1"/>
    </xf>
    <xf numFmtId="164" fontId="0" fillId="0" borderId="0" xfId="1" applyFont="1"/>
    <xf numFmtId="164" fontId="9" fillId="3" borderId="5" xfId="1" applyFont="1" applyFill="1" applyBorder="1" applyAlignment="1">
      <alignment horizontal="center" vertical="center"/>
    </xf>
    <xf numFmtId="164" fontId="9" fillId="3" borderId="5" xfId="1" applyFont="1" applyFill="1" applyBorder="1" applyAlignment="1">
      <alignment horizontal="left" vertical="center"/>
    </xf>
    <xf numFmtId="164" fontId="0" fillId="0" borderId="0" xfId="1" applyFon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16" fillId="0" borderId="9" xfId="0" applyFont="1" applyBorder="1" applyAlignment="1">
      <alignment horizontal="center" vertical="center"/>
    </xf>
    <xf numFmtId="0" fontId="19" fillId="5" borderId="9" xfId="0" applyFont="1" applyFill="1" applyBorder="1" applyAlignment="1">
      <alignment horizontal="left" vertical="center"/>
    </xf>
    <xf numFmtId="164" fontId="18" fillId="0" borderId="9" xfId="1" applyFont="1" applyBorder="1" applyAlignment="1">
      <alignment horizontal="center" vertical="center"/>
    </xf>
    <xf numFmtId="9" fontId="20" fillId="0" borderId="9" xfId="0" applyNumberFormat="1" applyFont="1" applyBorder="1" applyAlignment="1">
      <alignment horizontal="center" vertical="center"/>
    </xf>
    <xf numFmtId="0" fontId="19" fillId="7" borderId="9" xfId="0" applyFont="1" applyFill="1" applyBorder="1" applyAlignment="1">
      <alignment horizontal="left" vertical="center"/>
    </xf>
    <xf numFmtId="10" fontId="19" fillId="0" borderId="9" xfId="6" applyNumberFormat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 wrapText="1"/>
    </xf>
    <xf numFmtId="0" fontId="19" fillId="8" borderId="9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/>
    </xf>
    <xf numFmtId="0" fontId="17" fillId="0" borderId="9" xfId="0" applyFont="1" applyBorder="1" applyAlignment="1">
      <alignment horizontal="center" vertical="center" wrapText="1"/>
    </xf>
    <xf numFmtId="164" fontId="16" fillId="0" borderId="9" xfId="1" applyFont="1" applyBorder="1" applyAlignment="1">
      <alignment horizontal="center" vertical="center"/>
    </xf>
    <xf numFmtId="164" fontId="16" fillId="0" borderId="9" xfId="1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2" fontId="10" fillId="0" borderId="1" xfId="1" quotePrefix="1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0" fontId="16" fillId="9" borderId="9" xfId="0" applyFont="1" applyFill="1" applyBorder="1" applyAlignment="1">
      <alignment horizontal="center" vertical="center" wrapText="1"/>
    </xf>
    <xf numFmtId="164" fontId="16" fillId="0" borderId="9" xfId="1" applyFont="1" applyFill="1" applyBorder="1" applyAlignment="1">
      <alignment horizontal="center" vertical="center"/>
    </xf>
    <xf numFmtId="164" fontId="16" fillId="0" borderId="9" xfId="1" applyFont="1" applyFill="1" applyBorder="1" applyAlignment="1">
      <alignment horizontal="left" vertical="center" wrapText="1"/>
    </xf>
    <xf numFmtId="164" fontId="16" fillId="0" borderId="9" xfId="1" applyFont="1" applyFill="1" applyBorder="1" applyAlignment="1">
      <alignment horizontal="left" vertical="center"/>
    </xf>
    <xf numFmtId="0" fontId="18" fillId="9" borderId="9" xfId="0" applyFont="1" applyFill="1" applyBorder="1" applyAlignment="1">
      <alignment horizontal="center" vertical="center"/>
    </xf>
    <xf numFmtId="164" fontId="10" fillId="0" borderId="1" xfId="1" quotePrefix="1" applyFont="1" applyFill="1" applyBorder="1" applyAlignment="1">
      <alignment horizontal="center" vertical="center" wrapText="1"/>
    </xf>
    <xf numFmtId="164" fontId="2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" fontId="10" fillId="11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165" fontId="10" fillId="11" borderId="1" xfId="0" applyNumberFormat="1" applyFont="1" applyFill="1" applyBorder="1" applyAlignment="1">
      <alignment horizontal="center" vertical="center"/>
    </xf>
    <xf numFmtId="1" fontId="10" fillId="11" borderId="1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49" fontId="9" fillId="11" borderId="1" xfId="0" applyNumberFormat="1" applyFont="1" applyFill="1" applyBorder="1" applyAlignment="1">
      <alignment horizontal="center" vertical="center"/>
    </xf>
    <xf numFmtId="0" fontId="8" fillId="11" borderId="1" xfId="4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 wrapText="1"/>
    </xf>
    <xf numFmtId="164" fontId="16" fillId="13" borderId="9" xfId="1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 wrapText="1"/>
    </xf>
    <xf numFmtId="164" fontId="16" fillId="14" borderId="9" xfId="1" applyFont="1" applyFill="1" applyBorder="1" applyAlignment="1">
      <alignment horizontal="center" vertical="center"/>
    </xf>
    <xf numFmtId="164" fontId="16" fillId="14" borderId="9" xfId="1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/>
    </xf>
    <xf numFmtId="164" fontId="11" fillId="0" borderId="1" xfId="3" applyFont="1" applyFill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25" fillId="11" borderId="1" xfId="1" quotePrefix="1" applyFont="1" applyFill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4" fontId="26" fillId="0" borderId="0" xfId="1" applyFont="1"/>
    <xf numFmtId="164" fontId="27" fillId="0" borderId="0" xfId="1" applyFont="1"/>
    <xf numFmtId="9" fontId="0" fillId="0" borderId="0" xfId="6" applyFont="1"/>
    <xf numFmtId="164" fontId="10" fillId="0" borderId="1" xfId="1" quotePrefix="1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10" fillId="0" borderId="1" xfId="0" quotePrefix="1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/>
    </xf>
    <xf numFmtId="0" fontId="8" fillId="0" borderId="1" xfId="4" quotePrefix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0" fontId="10" fillId="16" borderId="1" xfId="0" applyFont="1" applyFill="1" applyBorder="1" applyAlignment="1">
      <alignment horizontal="center" vertical="center" wrapText="1"/>
    </xf>
    <xf numFmtId="1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 wrapText="1"/>
    </xf>
    <xf numFmtId="165" fontId="10" fillId="16" borderId="1" xfId="0" applyNumberFormat="1" applyFont="1" applyFill="1" applyBorder="1" applyAlignment="1">
      <alignment horizontal="center" vertical="center"/>
    </xf>
    <xf numFmtId="1" fontId="10" fillId="16" borderId="1" xfId="0" applyNumberFormat="1" applyFont="1" applyFill="1" applyBorder="1" applyAlignment="1">
      <alignment horizontal="center" vertical="center"/>
    </xf>
    <xf numFmtId="0" fontId="13" fillId="16" borderId="1" xfId="0" quotePrefix="1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49" fontId="10" fillId="16" borderId="1" xfId="0" applyNumberFormat="1" applyFont="1" applyFill="1" applyBorder="1" applyAlignment="1">
      <alignment horizontal="center" vertical="center"/>
    </xf>
    <xf numFmtId="164" fontId="10" fillId="16" borderId="1" xfId="1" quotePrefix="1" applyFont="1" applyFill="1" applyBorder="1" applyAlignment="1">
      <alignment horizontal="center" vertical="center" wrapText="1"/>
    </xf>
    <xf numFmtId="164" fontId="10" fillId="16" borderId="1" xfId="1" quotePrefix="1" applyFont="1" applyFill="1" applyBorder="1" applyAlignment="1">
      <alignment horizontal="left" vertical="center" wrapText="1"/>
    </xf>
    <xf numFmtId="2" fontId="10" fillId="16" borderId="1" xfId="1" quotePrefix="1" applyNumberFormat="1" applyFont="1" applyFill="1" applyBorder="1" applyAlignment="1">
      <alignment horizontal="center" vertical="center" wrapText="1"/>
    </xf>
    <xf numFmtId="0" fontId="8" fillId="16" borderId="1" xfId="4" applyFont="1" applyFill="1" applyBorder="1" applyAlignment="1">
      <alignment horizontal="center" vertical="center"/>
    </xf>
    <xf numFmtId="164" fontId="11" fillId="16" borderId="1" xfId="3" applyFont="1" applyFill="1" applyBorder="1" applyAlignment="1">
      <alignment horizontal="center" vertical="center"/>
    </xf>
    <xf numFmtId="166" fontId="10" fillId="16" borderId="1" xfId="0" applyNumberFormat="1" applyFont="1" applyFill="1" applyBorder="1" applyAlignment="1">
      <alignment horizontal="center" vertical="center"/>
    </xf>
    <xf numFmtId="1" fontId="10" fillId="16" borderId="1" xfId="0" quotePrefix="1" applyNumberFormat="1" applyFont="1" applyFill="1" applyBorder="1" applyAlignment="1">
      <alignment horizontal="center" vertical="center" wrapText="1"/>
    </xf>
    <xf numFmtId="17" fontId="10" fillId="16" borderId="1" xfId="0" applyNumberFormat="1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1" fontId="10" fillId="17" borderId="1" xfId="0" quotePrefix="1" applyNumberFormat="1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165" fontId="10" fillId="17" borderId="1" xfId="0" applyNumberFormat="1" applyFont="1" applyFill="1" applyBorder="1" applyAlignment="1">
      <alignment horizontal="center" vertical="center"/>
    </xf>
    <xf numFmtId="1" fontId="10" fillId="17" borderId="1" xfId="0" applyNumberFormat="1" applyFont="1" applyFill="1" applyBorder="1" applyAlignment="1">
      <alignment horizontal="center" vertical="center"/>
    </xf>
    <xf numFmtId="0" fontId="13" fillId="17" borderId="1" xfId="0" quotePrefix="1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49" fontId="10" fillId="17" borderId="1" xfId="0" applyNumberFormat="1" applyFont="1" applyFill="1" applyBorder="1" applyAlignment="1">
      <alignment horizontal="center" vertical="center"/>
    </xf>
    <xf numFmtId="164" fontId="10" fillId="17" borderId="1" xfId="1" quotePrefix="1" applyFont="1" applyFill="1" applyBorder="1" applyAlignment="1">
      <alignment horizontal="center" vertical="center" wrapText="1"/>
    </xf>
    <xf numFmtId="164" fontId="10" fillId="17" borderId="1" xfId="1" quotePrefix="1" applyFont="1" applyFill="1" applyBorder="1" applyAlignment="1">
      <alignment horizontal="left" vertical="center" wrapText="1"/>
    </xf>
    <xf numFmtId="2" fontId="10" fillId="17" borderId="1" xfId="1" quotePrefix="1" applyNumberFormat="1" applyFont="1" applyFill="1" applyBorder="1" applyAlignment="1">
      <alignment horizontal="center" vertical="center" wrapText="1"/>
    </xf>
    <xf numFmtId="0" fontId="8" fillId="17" borderId="1" xfId="4" applyFont="1" applyFill="1" applyBorder="1" applyAlignment="1">
      <alignment horizontal="center" vertical="center"/>
    </xf>
    <xf numFmtId="164" fontId="11" fillId="17" borderId="1" xfId="3" applyFont="1" applyFill="1" applyBorder="1" applyAlignment="1">
      <alignment horizontal="center" vertical="center"/>
    </xf>
    <xf numFmtId="166" fontId="10" fillId="17" borderId="1" xfId="0" applyNumberFormat="1" applyFont="1" applyFill="1" applyBorder="1" applyAlignment="1">
      <alignment horizontal="center" vertical="center"/>
    </xf>
    <xf numFmtId="2" fontId="10" fillId="17" borderId="6" xfId="1" quotePrefix="1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164" fontId="10" fillId="2" borderId="1" xfId="1" quotePrefix="1" applyFont="1" applyFill="1" applyBorder="1" applyAlignment="1">
      <alignment horizontal="center" vertical="center" wrapText="1"/>
    </xf>
    <xf numFmtId="164" fontId="10" fillId="2" borderId="1" xfId="1" quotePrefix="1" applyFont="1" applyFill="1" applyBorder="1" applyAlignment="1">
      <alignment horizontal="left" vertical="center" wrapText="1"/>
    </xf>
    <xf numFmtId="0" fontId="8" fillId="2" borderId="1" xfId="4" applyFont="1" applyFill="1" applyBorder="1" applyAlignment="1">
      <alignment horizontal="center" vertical="center"/>
    </xf>
    <xf numFmtId="164" fontId="11" fillId="2" borderId="1" xfId="3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2" fontId="10" fillId="2" borderId="1" xfId="1" quotePrefix="1" applyNumberFormat="1" applyFont="1" applyFill="1" applyBorder="1" applyAlignment="1">
      <alignment horizontal="center" vertical="center" wrapText="1"/>
    </xf>
    <xf numFmtId="167" fontId="10" fillId="17" borderId="1" xfId="0" applyNumberFormat="1" applyFont="1" applyFill="1" applyBorder="1" applyAlignment="1">
      <alignment horizontal="center" vertical="center" wrapText="1"/>
    </xf>
    <xf numFmtId="164" fontId="28" fillId="16" borderId="1" xfId="3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8" borderId="1" xfId="0" quotePrefix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 wrapText="1"/>
    </xf>
    <xf numFmtId="165" fontId="10" fillId="18" borderId="1" xfId="0" applyNumberFormat="1" applyFont="1" applyFill="1" applyBorder="1" applyAlignment="1">
      <alignment horizontal="center" vertical="center"/>
    </xf>
    <xf numFmtId="1" fontId="10" fillId="18" borderId="1" xfId="0" applyNumberFormat="1" applyFont="1" applyFill="1" applyBorder="1" applyAlignment="1">
      <alignment horizontal="center" vertical="center"/>
    </xf>
    <xf numFmtId="0" fontId="13" fillId="18" borderId="1" xfId="0" quotePrefix="1" applyFont="1" applyFill="1" applyBorder="1" applyAlignment="1">
      <alignment horizontal="center" vertical="center" wrapText="1"/>
    </xf>
    <xf numFmtId="49" fontId="10" fillId="18" borderId="1" xfId="0" applyNumberFormat="1" applyFont="1" applyFill="1" applyBorder="1" applyAlignment="1">
      <alignment horizontal="center" vertical="center"/>
    </xf>
    <xf numFmtId="164" fontId="10" fillId="18" borderId="1" xfId="1" quotePrefix="1" applyFont="1" applyFill="1" applyBorder="1" applyAlignment="1">
      <alignment horizontal="center" vertical="center" wrapText="1"/>
    </xf>
    <xf numFmtId="164" fontId="10" fillId="18" borderId="1" xfId="1" quotePrefix="1" applyFont="1" applyFill="1" applyBorder="1" applyAlignment="1">
      <alignment horizontal="left" vertical="center" wrapText="1"/>
    </xf>
    <xf numFmtId="0" fontId="8" fillId="18" borderId="1" xfId="4" quotePrefix="1" applyFont="1" applyFill="1" applyBorder="1" applyAlignment="1">
      <alignment horizontal="center" vertical="center"/>
    </xf>
    <xf numFmtId="164" fontId="11" fillId="18" borderId="1" xfId="3" applyFont="1" applyFill="1" applyBorder="1" applyAlignment="1">
      <alignment horizontal="center" vertical="center"/>
    </xf>
    <xf numFmtId="17" fontId="10" fillId="18" borderId="1" xfId="0" applyNumberFormat="1" applyFont="1" applyFill="1" applyBorder="1" applyAlignment="1">
      <alignment horizontal="center" vertical="center" wrapText="1"/>
    </xf>
    <xf numFmtId="14" fontId="10" fillId="16" borderId="1" xfId="1" quotePrefix="1" applyNumberFormat="1" applyFont="1" applyFill="1" applyBorder="1" applyAlignment="1">
      <alignment horizontal="center" vertical="center" wrapText="1"/>
    </xf>
    <xf numFmtId="14" fontId="10" fillId="2" borderId="1" xfId="1" quotePrefix="1" applyNumberFormat="1" applyFont="1" applyFill="1" applyBorder="1" applyAlignment="1">
      <alignment horizontal="center" vertical="center" wrapText="1"/>
    </xf>
    <xf numFmtId="14" fontId="10" fillId="17" borderId="1" xfId="1" quotePrefix="1" applyNumberFormat="1" applyFont="1" applyFill="1" applyBorder="1" applyAlignment="1">
      <alignment horizontal="center" vertical="center" wrapText="1"/>
    </xf>
    <xf numFmtId="14" fontId="10" fillId="0" borderId="1" xfId="1" quotePrefix="1" applyNumberFormat="1" applyFont="1" applyFill="1" applyBorder="1" applyAlignment="1">
      <alignment horizontal="center" vertical="center" wrapText="1"/>
    </xf>
    <xf numFmtId="14" fontId="10" fillId="18" borderId="1" xfId="1" quotePrefix="1" applyNumberFormat="1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4" fontId="10" fillId="11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10" fillId="17" borderId="6" xfId="0" applyNumberFormat="1" applyFont="1" applyFill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0" fillId="2" borderId="0" xfId="0" applyFill="1"/>
    <xf numFmtId="0" fontId="0" fillId="2" borderId="0" xfId="0" quotePrefix="1" applyFill="1"/>
    <xf numFmtId="49" fontId="10" fillId="17" borderId="1" xfId="0" applyNumberFormat="1" applyFont="1" applyFill="1" applyBorder="1" applyAlignment="1">
      <alignment horizontal="center" vertical="center" wrapText="1"/>
    </xf>
    <xf numFmtId="49" fontId="10" fillId="16" borderId="1" xfId="0" applyNumberFormat="1" applyFont="1" applyFill="1" applyBorder="1" applyAlignment="1">
      <alignment horizontal="center" vertical="center" wrapText="1"/>
    </xf>
    <xf numFmtId="49" fontId="10" fillId="18" borderId="1" xfId="0" applyNumberFormat="1" applyFont="1" applyFill="1" applyBorder="1" applyAlignment="1">
      <alignment horizontal="center" vertical="center" wrapText="1"/>
    </xf>
    <xf numFmtId="49" fontId="9" fillId="11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7" fillId="16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164" fontId="10" fillId="4" borderId="1" xfId="1" quotePrefix="1" applyFont="1" applyFill="1" applyBorder="1" applyAlignment="1">
      <alignment horizontal="center" vertical="center" wrapText="1"/>
    </xf>
    <xf numFmtId="164" fontId="10" fillId="4" borderId="1" xfId="1" quotePrefix="1" applyFont="1" applyFill="1" applyBorder="1" applyAlignment="1">
      <alignment horizontal="left" vertical="center" wrapText="1"/>
    </xf>
    <xf numFmtId="2" fontId="10" fillId="4" borderId="1" xfId="1" quotePrefix="1" applyNumberFormat="1" applyFont="1" applyFill="1" applyBorder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/>
    </xf>
    <xf numFmtId="164" fontId="11" fillId="4" borderId="1" xfId="3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14" fontId="10" fillId="4" borderId="1" xfId="1" quotePrefix="1" applyNumberFormat="1" applyFont="1" applyFill="1" applyBorder="1" applyAlignment="1">
      <alignment horizontal="center" vertical="center" wrapText="1"/>
    </xf>
    <xf numFmtId="49" fontId="7" fillId="17" borderId="1" xfId="0" applyNumberFormat="1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center" vertical="center"/>
    </xf>
    <xf numFmtId="49" fontId="8" fillId="16" borderId="1" xfId="4" applyNumberFormat="1" applyFont="1" applyFill="1" applyBorder="1" applyAlignment="1">
      <alignment horizontal="center" vertical="center"/>
    </xf>
    <xf numFmtId="49" fontId="8" fillId="2" borderId="1" xfId="4" applyNumberFormat="1" applyFont="1" applyFill="1" applyBorder="1" applyAlignment="1">
      <alignment horizontal="center" vertical="center"/>
    </xf>
    <xf numFmtId="49" fontId="8" fillId="17" borderId="1" xfId="4" applyNumberFormat="1" applyFont="1" applyFill="1" applyBorder="1" applyAlignment="1">
      <alignment horizontal="center" vertical="center"/>
    </xf>
    <xf numFmtId="49" fontId="8" fillId="0" borderId="1" xfId="4" applyNumberFormat="1" applyFont="1" applyBorder="1" applyAlignment="1">
      <alignment horizontal="center" vertical="center"/>
    </xf>
    <xf numFmtId="49" fontId="8" fillId="4" borderId="1" xfId="4" applyNumberFormat="1" applyFont="1" applyFill="1" applyBorder="1" applyAlignment="1">
      <alignment horizontal="center" vertical="center"/>
    </xf>
    <xf numFmtId="49" fontId="8" fillId="0" borderId="1" xfId="4" quotePrefix="1" applyNumberFormat="1" applyFont="1" applyBorder="1" applyAlignment="1">
      <alignment horizontal="center" vertical="center"/>
    </xf>
    <xf numFmtId="49" fontId="8" fillId="18" borderId="1" xfId="4" quotePrefix="1" applyNumberFormat="1" applyFont="1" applyFill="1" applyBorder="1" applyAlignment="1">
      <alignment horizontal="center" vertical="center"/>
    </xf>
    <xf numFmtId="49" fontId="8" fillId="11" borderId="1" xfId="4" applyNumberFormat="1" applyFont="1" applyFill="1" applyBorder="1" applyAlignment="1">
      <alignment horizontal="center" vertical="center"/>
    </xf>
    <xf numFmtId="49" fontId="0" fillId="0" borderId="0" xfId="0" applyNumberFormat="1"/>
    <xf numFmtId="164" fontId="7" fillId="0" borderId="0" xfId="1" applyFont="1"/>
    <xf numFmtId="166" fontId="10" fillId="11" borderId="1" xfId="0" applyNumberFormat="1" applyFont="1" applyFill="1" applyBorder="1" applyAlignment="1">
      <alignment horizontal="center" vertical="center"/>
    </xf>
    <xf numFmtId="1" fontId="10" fillId="2" borderId="1" xfId="0" quotePrefix="1" applyNumberFormat="1" applyFont="1" applyFill="1" applyBorder="1" applyAlignment="1">
      <alignment horizontal="center" vertical="center" wrapText="1"/>
    </xf>
    <xf numFmtId="2" fontId="10" fillId="0" borderId="6" xfId="1" quotePrefix="1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5" fontId="10" fillId="16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0" fillId="17" borderId="1" xfId="0" applyNumberFormat="1" applyFont="1" applyFill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5" fontId="10" fillId="1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" fontId="10" fillId="2" borderId="6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8" fillId="2" borderId="1" xfId="4" quotePrefix="1" applyFont="1" applyFill="1" applyBorder="1" applyAlignment="1">
      <alignment horizontal="center" vertical="center"/>
    </xf>
    <xf numFmtId="49" fontId="8" fillId="2" borderId="1" xfId="4" quotePrefix="1" applyNumberFormat="1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/>
    </xf>
    <xf numFmtId="14" fontId="7" fillId="16" borderId="1" xfId="0" applyNumberFormat="1" applyFont="1" applyFill="1" applyBorder="1" applyAlignment="1">
      <alignment horizontal="center" vertical="center" wrapText="1"/>
    </xf>
    <xf numFmtId="1" fontId="10" fillId="16" borderId="6" xfId="0" applyNumberFormat="1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 wrapText="1"/>
    </xf>
    <xf numFmtId="0" fontId="8" fillId="16" borderId="1" xfId="4" quotePrefix="1" applyFont="1" applyFill="1" applyBorder="1" applyAlignment="1">
      <alignment horizontal="center" vertical="center"/>
    </xf>
    <xf numFmtId="49" fontId="8" fillId="16" borderId="1" xfId="4" quotePrefix="1" applyNumberFormat="1" applyFont="1" applyFill="1" applyBorder="1" applyAlignment="1">
      <alignment horizontal="center" vertical="center"/>
    </xf>
    <xf numFmtId="167" fontId="10" fillId="16" borderId="1" xfId="0" applyNumberFormat="1" applyFont="1" applyFill="1" applyBorder="1" applyAlignment="1">
      <alignment horizontal="center" vertical="center" wrapText="1"/>
    </xf>
    <xf numFmtId="14" fontId="10" fillId="16" borderId="1" xfId="0" applyNumberFormat="1" applyFont="1" applyFill="1" applyBorder="1" applyAlignment="1">
      <alignment horizontal="center" vertical="center"/>
    </xf>
    <xf numFmtId="2" fontId="10" fillId="4" borderId="6" xfId="1" quotePrefix="1" applyNumberFormat="1" applyFont="1" applyFill="1" applyBorder="1" applyAlignment="1">
      <alignment horizontal="center" vertical="center" wrapText="1"/>
    </xf>
    <xf numFmtId="167" fontId="10" fillId="4" borderId="1" xfId="0" applyNumberFormat="1" applyFont="1" applyFill="1" applyBorder="1" applyAlignment="1">
      <alignment horizontal="center" vertical="center" wrapText="1"/>
    </xf>
    <xf numFmtId="1" fontId="10" fillId="4" borderId="1" xfId="0" quotePrefix="1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1" fontId="10" fillId="4" borderId="6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17" fontId="10" fillId="2" borderId="1" xfId="0" applyNumberFormat="1" applyFont="1" applyFill="1" applyBorder="1" applyAlignment="1">
      <alignment horizontal="center" vertical="center" wrapText="1"/>
    </xf>
    <xf numFmtId="14" fontId="7" fillId="17" borderId="1" xfId="0" applyNumberFormat="1" applyFont="1" applyFill="1" applyBorder="1" applyAlignment="1">
      <alignment horizontal="center" vertical="center" wrapText="1"/>
    </xf>
    <xf numFmtId="0" fontId="7" fillId="17" borderId="6" xfId="0" applyFont="1" applyFill="1" applyBorder="1" applyAlignment="1">
      <alignment horizontal="center" vertical="center" wrapText="1"/>
    </xf>
    <xf numFmtId="0" fontId="8" fillId="17" borderId="1" xfId="4" quotePrefix="1" applyFont="1" applyFill="1" applyBorder="1" applyAlignment="1">
      <alignment horizontal="center" vertical="center"/>
    </xf>
    <xf numFmtId="49" fontId="8" fillId="17" borderId="1" xfId="4" quotePrefix="1" applyNumberFormat="1" applyFont="1" applyFill="1" applyBorder="1" applyAlignment="1">
      <alignment horizontal="center" vertical="center"/>
    </xf>
    <xf numFmtId="14" fontId="10" fillId="17" borderId="1" xfId="0" applyNumberFormat="1" applyFont="1" applyFill="1" applyBorder="1" applyAlignment="1">
      <alignment horizontal="center" vertical="center"/>
    </xf>
    <xf numFmtId="0" fontId="9" fillId="3" borderId="6" xfId="0" quotePrefix="1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4" fontId="9" fillId="3" borderId="6" xfId="4" applyNumberFormat="1" applyFont="1" applyFill="1" applyBorder="1" applyAlignment="1">
      <alignment horizontal="center" vertical="center"/>
    </xf>
    <xf numFmtId="4" fontId="9" fillId="3" borderId="4" xfId="4" applyNumberFormat="1" applyFont="1" applyFill="1" applyBorder="1" applyAlignment="1">
      <alignment horizontal="center" vertical="center"/>
    </xf>
    <xf numFmtId="165" fontId="9" fillId="3" borderId="5" xfId="0" quotePrefix="1" applyNumberFormat="1" applyFont="1" applyFill="1" applyBorder="1" applyAlignment="1">
      <alignment horizontal="center" vertical="center" wrapText="1"/>
    </xf>
    <xf numFmtId="165" fontId="9" fillId="3" borderId="2" xfId="0" quotePrefix="1" applyNumberFormat="1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8" fillId="15" borderId="5" xfId="4" applyFont="1" applyFill="1" applyBorder="1" applyAlignment="1">
      <alignment horizontal="center" vertical="center" wrapText="1"/>
    </xf>
    <xf numFmtId="0" fontId="8" fillId="15" borderId="2" xfId="4" applyFont="1" applyFill="1" applyBorder="1" applyAlignment="1">
      <alignment horizontal="center" vertical="center" wrapText="1"/>
    </xf>
    <xf numFmtId="0" fontId="8" fillId="15" borderId="3" xfId="4" applyFont="1" applyFill="1" applyBorder="1" applyAlignment="1">
      <alignment horizontal="center" vertical="center" wrapText="1"/>
    </xf>
    <xf numFmtId="0" fontId="9" fillId="3" borderId="13" xfId="0" quotePrefix="1" applyFont="1" applyFill="1" applyBorder="1" applyAlignment="1">
      <alignment horizontal="center" vertical="center" wrapText="1"/>
    </xf>
    <xf numFmtId="0" fontId="9" fillId="3" borderId="16" xfId="0" quotePrefix="1" applyFont="1" applyFill="1" applyBorder="1" applyAlignment="1">
      <alignment horizontal="center" vertical="center" wrapText="1"/>
    </xf>
    <xf numFmtId="167" fontId="9" fillId="3" borderId="5" xfId="0" quotePrefix="1" applyNumberFormat="1" applyFont="1" applyFill="1" applyBorder="1" applyAlignment="1">
      <alignment horizontal="center" vertical="center" wrapText="1"/>
    </xf>
    <xf numFmtId="167" fontId="9" fillId="3" borderId="2" xfId="0" quotePrefix="1" applyNumberFormat="1" applyFont="1" applyFill="1" applyBorder="1" applyAlignment="1">
      <alignment horizontal="center" vertical="center" wrapText="1"/>
    </xf>
    <xf numFmtId="0" fontId="9" fillId="3" borderId="5" xfId="0" quotePrefix="1" applyFont="1" applyFill="1" applyBorder="1" applyAlignment="1">
      <alignment horizontal="center" vertical="center" wrapText="1"/>
    </xf>
    <xf numFmtId="0" fontId="9" fillId="3" borderId="2" xfId="0" quotePrefix="1" applyFont="1" applyFill="1" applyBorder="1" applyAlignment="1">
      <alignment horizontal="center" vertical="center" wrapText="1"/>
    </xf>
    <xf numFmtId="14" fontId="9" fillId="3" borderId="5" xfId="0" quotePrefix="1" applyNumberFormat="1" applyFont="1" applyFill="1" applyBorder="1" applyAlignment="1">
      <alignment horizontal="center" vertical="center" wrapText="1"/>
    </xf>
    <xf numFmtId="14" fontId="9" fillId="3" borderId="2" xfId="0" quotePrefix="1" applyNumberFormat="1" applyFont="1" applyFill="1" applyBorder="1" applyAlignment="1">
      <alignment horizontal="center" vertical="center" wrapText="1"/>
    </xf>
    <xf numFmtId="0" fontId="8" fillId="3" borderId="5" xfId="4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 wrapText="1"/>
    </xf>
    <xf numFmtId="0" fontId="8" fillId="3" borderId="3" xfId="4" applyFont="1" applyFill="1" applyBorder="1" applyAlignment="1">
      <alignment horizontal="center" vertical="center" wrapText="1"/>
    </xf>
    <xf numFmtId="164" fontId="9" fillId="3" borderId="5" xfId="1" quotePrefix="1" applyFont="1" applyFill="1" applyBorder="1" applyAlignment="1">
      <alignment horizontal="center" vertical="center" wrapText="1"/>
    </xf>
    <xf numFmtId="164" fontId="9" fillId="3" borderId="2" xfId="1" quotePrefix="1" applyFont="1" applyFill="1" applyBorder="1" applyAlignment="1">
      <alignment horizontal="center" vertical="center" wrapText="1"/>
    </xf>
    <xf numFmtId="164" fontId="9" fillId="3" borderId="6" xfId="1" quotePrefix="1" applyFont="1" applyFill="1" applyBorder="1" applyAlignment="1">
      <alignment horizontal="center" vertical="center" wrapText="1"/>
    </xf>
    <xf numFmtId="164" fontId="9" fillId="3" borderId="4" xfId="1" quotePrefix="1" applyFont="1" applyFill="1" applyBorder="1" applyAlignment="1">
      <alignment horizontal="center" vertical="center" wrapText="1"/>
    </xf>
    <xf numFmtId="49" fontId="9" fillId="3" borderId="5" xfId="0" quotePrefix="1" applyNumberFormat="1" applyFont="1" applyFill="1" applyBorder="1" applyAlignment="1">
      <alignment horizontal="center" vertical="center" wrapText="1"/>
    </xf>
    <xf numFmtId="49" fontId="9" fillId="3" borderId="2" xfId="0" quotePrefix="1" applyNumberFormat="1" applyFont="1" applyFill="1" applyBorder="1" applyAlignment="1">
      <alignment horizontal="center" vertical="center" wrapText="1"/>
    </xf>
    <xf numFmtId="49" fontId="9" fillId="3" borderId="3" xfId="0" quotePrefix="1" applyNumberFormat="1" applyFont="1" applyFill="1" applyBorder="1" applyAlignment="1">
      <alignment horizontal="center" vertical="center" wrapText="1"/>
    </xf>
    <xf numFmtId="49" fontId="21" fillId="3" borderId="5" xfId="4" applyNumberFormat="1" applyFont="1" applyFill="1" applyBorder="1" applyAlignment="1">
      <alignment horizontal="center" vertical="center" wrapText="1"/>
    </xf>
    <xf numFmtId="49" fontId="21" fillId="3" borderId="2" xfId="4" applyNumberFormat="1" applyFont="1" applyFill="1" applyBorder="1" applyAlignment="1">
      <alignment horizontal="center" vertical="center" wrapText="1"/>
    </xf>
    <xf numFmtId="49" fontId="21" fillId="3" borderId="3" xfId="4" applyNumberFormat="1" applyFont="1" applyFill="1" applyBorder="1" applyAlignment="1">
      <alignment horizontal="center" vertical="center" wrapText="1"/>
    </xf>
    <xf numFmtId="49" fontId="8" fillId="3" borderId="5" xfId="4" applyNumberFormat="1" applyFont="1" applyFill="1" applyBorder="1" applyAlignment="1">
      <alignment horizontal="center" vertical="center" wrapText="1"/>
    </xf>
    <xf numFmtId="49" fontId="8" fillId="3" borderId="2" xfId="4" applyNumberFormat="1" applyFont="1" applyFill="1" applyBorder="1" applyAlignment="1">
      <alignment horizontal="center" vertical="center" wrapText="1"/>
    </xf>
    <xf numFmtId="49" fontId="8" fillId="3" borderId="3" xfId="4" applyNumberFormat="1" applyFont="1" applyFill="1" applyBorder="1" applyAlignment="1">
      <alignment horizontal="center" vertical="center" wrapText="1"/>
    </xf>
    <xf numFmtId="1" fontId="8" fillId="3" borderId="5" xfId="4" applyNumberFormat="1" applyFont="1" applyFill="1" applyBorder="1" applyAlignment="1">
      <alignment horizontal="center" vertical="center" wrapText="1"/>
    </xf>
    <xf numFmtId="1" fontId="8" fillId="3" borderId="2" xfId="4" applyNumberFormat="1" applyFont="1" applyFill="1" applyBorder="1" applyAlignment="1">
      <alignment horizontal="center" vertical="center" wrapText="1"/>
    </xf>
    <xf numFmtId="1" fontId="8" fillId="3" borderId="3" xfId="4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5" fontId="17" fillId="0" borderId="10" xfId="0" applyNumberFormat="1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2 2" xfId="8" xr:uid="{97C65B47-D75B-443E-AFE4-AA13D5572159}"/>
    <cellStyle name="Comma 2 2 2" xfId="12" xr:uid="{48CCF0E2-26AA-4853-95F0-314B06F73B02}"/>
    <cellStyle name="Comma 2 3" xfId="10" xr:uid="{9F2D34B6-31DD-4DA4-ADFB-A7D08FB33D57}"/>
    <cellStyle name="Comma 3" xfId="7" xr:uid="{45B0D06B-B28A-49DC-B928-D8FD12E91AA9}"/>
    <cellStyle name="Comma 3 2" xfId="11" xr:uid="{0A25152E-8CD0-47DE-A650-0D42A82003A0}"/>
    <cellStyle name="Comma 4" xfId="9" xr:uid="{F78AC968-0289-4C5D-A79B-6CC9C384719D}"/>
    <cellStyle name="Comma 5" xfId="13" xr:uid="{4C2893FC-3EE9-4FA4-84DC-8EDAE7947860}"/>
    <cellStyle name="Normal" xfId="0" builtinId="0"/>
    <cellStyle name="Normal 2" xfId="2" xr:uid="{00000000-0005-0000-0000-000003000000}"/>
    <cellStyle name="Normal 2 2" xfId="4" xr:uid="{00000000-0005-0000-0000-000004000000}"/>
    <cellStyle name="Percent" xfId="6" builtinId="5"/>
    <cellStyle name="Percent 2" xfId="5" xr:uid="{54FDE337-452C-495D-AB05-40DBC0F03DE8}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FF"/>
      <color rgb="FFFF0066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346610</xdr:colOff>
      <xdr:row>0</xdr:row>
      <xdr:rowOff>123536</xdr:rowOff>
    </xdr:from>
    <xdr:to>
      <xdr:col>2</xdr:col>
      <xdr:colOff>1389295</xdr:colOff>
      <xdr:row>0</xdr:row>
      <xdr:rowOff>787400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FFA19-4108-4C00-A4A1-4DF234D9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610" y="123536"/>
          <a:ext cx="3163585" cy="663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2F06-2127-4FA3-B90C-ECD15F3577FD}">
  <dimension ref="A3:B13"/>
  <sheetViews>
    <sheetView workbookViewId="0">
      <selection activeCell="B10" sqref="B10"/>
    </sheetView>
  </sheetViews>
  <sheetFormatPr defaultRowHeight="15" x14ac:dyDescent="0.25"/>
  <cols>
    <col min="2" max="2" width="21.42578125" bestFit="1" customWidth="1"/>
  </cols>
  <sheetData>
    <row r="3" spans="1:2" x14ac:dyDescent="0.25">
      <c r="A3">
        <v>1</v>
      </c>
      <c r="B3" t="s">
        <v>225</v>
      </c>
    </row>
    <row r="4" spans="1:2" x14ac:dyDescent="0.25">
      <c r="A4">
        <v>2</v>
      </c>
      <c r="B4" t="s">
        <v>226</v>
      </c>
    </row>
    <row r="5" spans="1:2" x14ac:dyDescent="0.25">
      <c r="A5">
        <v>3</v>
      </c>
      <c r="B5" t="s">
        <v>227</v>
      </c>
    </row>
    <row r="6" spans="1:2" x14ac:dyDescent="0.25">
      <c r="A6">
        <v>4</v>
      </c>
      <c r="B6" t="s">
        <v>228</v>
      </c>
    </row>
    <row r="7" spans="1:2" x14ac:dyDescent="0.25">
      <c r="A7">
        <v>5</v>
      </c>
      <c r="B7" t="s">
        <v>229</v>
      </c>
    </row>
    <row r="8" spans="1:2" x14ac:dyDescent="0.25">
      <c r="A8">
        <v>6</v>
      </c>
      <c r="B8" t="s">
        <v>230</v>
      </c>
    </row>
    <row r="9" spans="1:2" x14ac:dyDescent="0.25">
      <c r="A9">
        <v>7</v>
      </c>
      <c r="B9" t="s">
        <v>234</v>
      </c>
    </row>
    <row r="10" spans="1:2" x14ac:dyDescent="0.25">
      <c r="A10">
        <v>8</v>
      </c>
      <c r="B10" t="s">
        <v>235</v>
      </c>
    </row>
    <row r="11" spans="1:2" x14ac:dyDescent="0.25">
      <c r="A11">
        <v>9</v>
      </c>
      <c r="B11" t="s">
        <v>231</v>
      </c>
    </row>
    <row r="12" spans="1:2" x14ac:dyDescent="0.25">
      <c r="A12">
        <v>10</v>
      </c>
      <c r="B12" t="s">
        <v>232</v>
      </c>
    </row>
    <row r="13" spans="1:2" x14ac:dyDescent="0.25">
      <c r="A13">
        <v>11</v>
      </c>
      <c r="B13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9460-0E5C-49CB-9359-B2705A6D671C}">
  <sheetPr>
    <pageSetUpPr fitToPage="1"/>
  </sheetPr>
  <dimension ref="A1:BZ132"/>
  <sheetViews>
    <sheetView tabSelected="1" zoomScale="40" zoomScaleNormal="40" zoomScaleSheetLayoutView="50" workbookViewId="0">
      <pane xSplit="5" ySplit="4" topLeftCell="BF6" activePane="bottomRight" state="frozen"/>
      <selection pane="topRight" activeCell="F1" sqref="F1"/>
      <selection pane="bottomLeft" activeCell="A5" sqref="A5"/>
      <selection pane="bottomRight" activeCell="CH17" sqref="CH17"/>
    </sheetView>
  </sheetViews>
  <sheetFormatPr defaultColWidth="8.5703125" defaultRowHeight="21" outlineLevelRow="2" x14ac:dyDescent="0.3"/>
  <cols>
    <col min="1" max="1" width="11.5703125" style="13" customWidth="1"/>
    <col min="2" max="2" width="18.5703125" style="41" bestFit="1" customWidth="1"/>
    <col min="3" max="4" width="22.5703125" style="13" customWidth="1"/>
    <col min="5" max="5" width="27.42578125" style="2" customWidth="1"/>
    <col min="6" max="6" width="23.5703125" style="14" customWidth="1"/>
    <col min="7" max="7" width="29.42578125" style="14" customWidth="1"/>
    <col min="8" max="8" width="29.42578125" style="1" customWidth="1"/>
    <col min="9" max="9" width="33.42578125" style="1" customWidth="1"/>
    <col min="10" max="11" width="23.5703125" style="14" customWidth="1"/>
    <col min="12" max="12" width="26.5703125" style="14" customWidth="1"/>
    <col min="13" max="13" width="23.42578125" style="1" customWidth="1"/>
    <col min="14" max="14" width="31" style="1" customWidth="1"/>
    <col min="15" max="15" width="23.42578125" style="171" customWidth="1"/>
    <col min="16" max="16" width="30.5703125" style="209" customWidth="1"/>
    <col min="17" max="18" width="30" style="15" customWidth="1"/>
    <col min="19" max="19" width="30.5703125" style="1" customWidth="1"/>
    <col min="20" max="20" width="21.5703125" style="8" customWidth="1"/>
    <col min="21" max="21" width="25.5703125" style="1" customWidth="1"/>
    <col min="22" max="22" width="34.5703125" style="2" customWidth="1"/>
    <col min="23" max="23" width="16.42578125" style="167" customWidth="1"/>
    <col min="24" max="24" width="23.5703125" customWidth="1"/>
    <col min="25" max="25" width="22.140625" customWidth="1"/>
    <col min="26" max="26" width="19.5703125" style="12" customWidth="1"/>
    <col min="27" max="29" width="20.140625" style="9" customWidth="1"/>
    <col min="30" max="30" width="21.5703125" style="9" bestFit="1" customWidth="1"/>
    <col min="31" max="32" width="20.140625" style="9" customWidth="1"/>
    <col min="33" max="33" width="18" customWidth="1"/>
    <col min="34" max="34" width="20.140625" style="9" customWidth="1"/>
    <col min="35" max="35" width="19.140625" bestFit="1" customWidth="1"/>
    <col min="36" max="36" width="20.140625" style="9" customWidth="1"/>
    <col min="37" max="37" width="19.140625" bestFit="1" customWidth="1"/>
    <col min="38" max="38" width="20.140625" style="9" customWidth="1"/>
    <col min="39" max="39" width="18" customWidth="1"/>
    <col min="40" max="40" width="20.140625" style="9" customWidth="1"/>
    <col min="41" max="41" width="18" customWidth="1"/>
    <col min="42" max="42" width="20.140625" style="9" customWidth="1"/>
    <col min="43" max="43" width="18" customWidth="1"/>
    <col min="44" max="44" width="17.5703125" customWidth="1"/>
    <col min="45" max="45" width="17.85546875" customWidth="1"/>
    <col min="46" max="46" width="20.140625" style="9" customWidth="1"/>
    <col min="47" max="47" width="18" customWidth="1"/>
    <col min="48" max="48" width="20.140625" style="9" customWidth="1"/>
    <col min="49" max="49" width="19.140625" bestFit="1" customWidth="1"/>
    <col min="50" max="50" width="20.140625" style="9" customWidth="1"/>
    <col min="51" max="51" width="18" customWidth="1"/>
    <col min="52" max="52" width="20.140625" style="9" customWidth="1"/>
    <col min="53" max="53" width="18" customWidth="1"/>
    <col min="54" max="54" width="20.140625" style="9" customWidth="1"/>
    <col min="55" max="55" width="18" customWidth="1"/>
    <col min="56" max="56" width="20.140625" style="9" customWidth="1"/>
    <col min="57" max="57" width="18" customWidth="1"/>
    <col min="58" max="58" width="20.140625" style="9" customWidth="1"/>
    <col min="59" max="59" width="18" customWidth="1"/>
    <col min="60" max="60" width="20.140625" style="9" customWidth="1"/>
    <col min="61" max="61" width="18" customWidth="1"/>
    <col min="62" max="62" width="20.140625" style="9" customWidth="1"/>
    <col min="63" max="63" width="18" customWidth="1"/>
    <col min="64" max="64" width="20.140625" style="9" customWidth="1"/>
    <col min="65" max="65" width="18" customWidth="1"/>
    <col min="66" max="67" width="27.42578125" style="9" bestFit="1" customWidth="1"/>
    <col min="68" max="68" width="30.5703125" style="18" customWidth="1"/>
    <col min="69" max="69" width="22.42578125" style="18" customWidth="1"/>
    <col min="70" max="71" width="19.5703125" style="16" customWidth="1"/>
    <col min="72" max="72" width="16" style="13" customWidth="1"/>
    <col min="73" max="73" width="21" customWidth="1"/>
    <col min="74" max="74" width="21" style="197" customWidth="1"/>
    <col min="75" max="75" width="31.85546875" customWidth="1"/>
    <col min="76" max="76" width="23.42578125" style="17" customWidth="1"/>
    <col min="77" max="77" width="25.5703125" style="158" customWidth="1"/>
    <col min="78" max="78" width="23.42578125" style="6" customWidth="1"/>
  </cols>
  <sheetData>
    <row r="1" spans="1:78" ht="79.5" customHeight="1" x14ac:dyDescent="0.25">
      <c r="A1" s="246" t="s">
        <v>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7"/>
      <c r="BZ1" s="247"/>
    </row>
    <row r="2" spans="1:78" ht="53.45" customHeight="1" x14ac:dyDescent="0.25">
      <c r="A2" s="259" t="s">
        <v>46</v>
      </c>
      <c r="B2" s="275" t="s">
        <v>38</v>
      </c>
      <c r="C2" s="259" t="s">
        <v>7</v>
      </c>
      <c r="D2" s="259" t="s">
        <v>48</v>
      </c>
      <c r="E2" s="259" t="s">
        <v>50</v>
      </c>
      <c r="F2" s="259" t="s">
        <v>8</v>
      </c>
      <c r="G2" s="259" t="s">
        <v>11</v>
      </c>
      <c r="H2" s="248" t="s">
        <v>9</v>
      </c>
      <c r="I2" s="248" t="s">
        <v>44</v>
      </c>
      <c r="J2" s="248" t="s">
        <v>37</v>
      </c>
      <c r="K2" s="248" t="s">
        <v>83</v>
      </c>
      <c r="L2" s="259" t="s">
        <v>12</v>
      </c>
      <c r="M2" s="259" t="s">
        <v>237</v>
      </c>
      <c r="N2" s="259" t="s">
        <v>238</v>
      </c>
      <c r="O2" s="269" t="s">
        <v>241</v>
      </c>
      <c r="P2" s="259" t="s">
        <v>45</v>
      </c>
      <c r="Q2" s="259" t="s">
        <v>14</v>
      </c>
      <c r="R2" s="259" t="s">
        <v>251</v>
      </c>
      <c r="S2" s="259" t="s">
        <v>43</v>
      </c>
      <c r="T2" s="259" t="s">
        <v>61</v>
      </c>
      <c r="U2" s="259" t="s">
        <v>10</v>
      </c>
      <c r="V2" s="259" t="s">
        <v>6</v>
      </c>
      <c r="W2" s="272" t="s">
        <v>282</v>
      </c>
      <c r="X2" s="240" t="s">
        <v>51</v>
      </c>
      <c r="Y2" s="241"/>
      <c r="Z2" s="240" t="s">
        <v>52</v>
      </c>
      <c r="AA2" s="241"/>
      <c r="AB2" s="240" t="s">
        <v>53</v>
      </c>
      <c r="AC2" s="241"/>
      <c r="AD2" s="264" t="s">
        <v>54</v>
      </c>
      <c r="AE2" s="265"/>
      <c r="AF2" s="240" t="s">
        <v>108</v>
      </c>
      <c r="AG2" s="241"/>
      <c r="AH2" s="240" t="s">
        <v>110</v>
      </c>
      <c r="AI2" s="241"/>
      <c r="AJ2" s="240" t="s">
        <v>111</v>
      </c>
      <c r="AK2" s="241"/>
      <c r="AL2" s="240" t="s">
        <v>55</v>
      </c>
      <c r="AM2" s="241"/>
      <c r="AN2" s="240" t="s">
        <v>56</v>
      </c>
      <c r="AO2" s="241"/>
      <c r="AP2" s="240" t="s">
        <v>57</v>
      </c>
      <c r="AQ2" s="241"/>
      <c r="AR2" s="240" t="s">
        <v>60</v>
      </c>
      <c r="AS2" s="241"/>
      <c r="AT2" s="240" t="s">
        <v>58</v>
      </c>
      <c r="AU2" s="241"/>
      <c r="AV2" s="240" t="s">
        <v>59</v>
      </c>
      <c r="AW2" s="241"/>
      <c r="AX2" s="240" t="s">
        <v>95</v>
      </c>
      <c r="AY2" s="241"/>
      <c r="AZ2" s="240" t="s">
        <v>97</v>
      </c>
      <c r="BA2" s="241"/>
      <c r="BB2" s="240" t="s">
        <v>99</v>
      </c>
      <c r="BC2" s="241"/>
      <c r="BD2" s="240" t="s">
        <v>101</v>
      </c>
      <c r="BE2" s="241"/>
      <c r="BF2" s="240" t="s">
        <v>103</v>
      </c>
      <c r="BG2" s="241"/>
      <c r="BH2" s="240" t="s">
        <v>105</v>
      </c>
      <c r="BI2" s="241"/>
      <c r="BJ2" s="240" t="s">
        <v>106</v>
      </c>
      <c r="BK2" s="241"/>
      <c r="BL2" s="240" t="s">
        <v>107</v>
      </c>
      <c r="BM2" s="241"/>
      <c r="BN2" s="264" t="s">
        <v>2</v>
      </c>
      <c r="BO2" s="265"/>
      <c r="BP2" s="244" t="s">
        <v>35</v>
      </c>
      <c r="BQ2" s="244" t="s">
        <v>63</v>
      </c>
      <c r="BR2" s="255" t="s">
        <v>13</v>
      </c>
      <c r="BS2" s="251" t="s">
        <v>242</v>
      </c>
      <c r="BT2" s="255" t="s">
        <v>49</v>
      </c>
      <c r="BU2" s="255" t="s">
        <v>5</v>
      </c>
      <c r="BV2" s="266" t="s">
        <v>236</v>
      </c>
      <c r="BW2" s="255" t="s">
        <v>4</v>
      </c>
      <c r="BX2" s="253" t="s">
        <v>84</v>
      </c>
      <c r="BY2" s="257" t="s">
        <v>243</v>
      </c>
      <c r="BZ2" s="251" t="s">
        <v>85</v>
      </c>
    </row>
    <row r="3" spans="1:78" ht="30.95" customHeight="1" x14ac:dyDescent="0.25">
      <c r="A3" s="260"/>
      <c r="B3" s="276"/>
      <c r="C3" s="260"/>
      <c r="D3" s="260"/>
      <c r="E3" s="260"/>
      <c r="F3" s="260"/>
      <c r="G3" s="260"/>
      <c r="H3" s="249"/>
      <c r="I3" s="249"/>
      <c r="J3" s="249"/>
      <c r="K3" s="249"/>
      <c r="L3" s="260"/>
      <c r="M3" s="260"/>
      <c r="N3" s="260"/>
      <c r="O3" s="270"/>
      <c r="P3" s="260"/>
      <c r="Q3" s="260"/>
      <c r="R3" s="260"/>
      <c r="S3" s="260"/>
      <c r="T3" s="260"/>
      <c r="U3" s="260"/>
      <c r="V3" s="260"/>
      <c r="W3" s="273"/>
      <c r="X3" s="242" t="s">
        <v>64</v>
      </c>
      <c r="Y3" s="243"/>
      <c r="Z3" s="242" t="s">
        <v>65</v>
      </c>
      <c r="AA3" s="243"/>
      <c r="AB3" s="242" t="s">
        <v>66</v>
      </c>
      <c r="AC3" s="243"/>
      <c r="AD3" s="242" t="s">
        <v>67</v>
      </c>
      <c r="AE3" s="243"/>
      <c r="AF3" s="242" t="s">
        <v>109</v>
      </c>
      <c r="AG3" s="243"/>
      <c r="AH3" s="242" t="s">
        <v>112</v>
      </c>
      <c r="AI3" s="243"/>
      <c r="AJ3" s="242" t="s">
        <v>68</v>
      </c>
      <c r="AK3" s="243"/>
      <c r="AL3" s="242" t="s">
        <v>69</v>
      </c>
      <c r="AM3" s="243"/>
      <c r="AN3" s="242" t="s">
        <v>70</v>
      </c>
      <c r="AO3" s="243"/>
      <c r="AP3" s="242" t="s">
        <v>71</v>
      </c>
      <c r="AQ3" s="243"/>
      <c r="AR3" s="242" t="s">
        <v>72</v>
      </c>
      <c r="AS3" s="243"/>
      <c r="AT3" s="242" t="s">
        <v>73</v>
      </c>
      <c r="AU3" s="243"/>
      <c r="AV3" s="242" t="s">
        <v>74</v>
      </c>
      <c r="AW3" s="243"/>
      <c r="AX3" s="242" t="s">
        <v>96</v>
      </c>
      <c r="AY3" s="243"/>
      <c r="AZ3" s="242" t="s">
        <v>98</v>
      </c>
      <c r="BA3" s="243"/>
      <c r="BB3" s="242" t="s">
        <v>100</v>
      </c>
      <c r="BC3" s="243"/>
      <c r="BD3" s="242" t="s">
        <v>102</v>
      </c>
      <c r="BE3" s="243"/>
      <c r="BF3" s="242" t="s">
        <v>104</v>
      </c>
      <c r="BG3" s="243"/>
      <c r="BH3" s="242" t="s">
        <v>113</v>
      </c>
      <c r="BI3" s="243"/>
      <c r="BJ3" s="242" t="s">
        <v>114</v>
      </c>
      <c r="BK3" s="243"/>
      <c r="BL3" s="242" t="s">
        <v>115</v>
      </c>
      <c r="BM3" s="243"/>
      <c r="BN3" s="262" t="s">
        <v>0</v>
      </c>
      <c r="BO3" s="262" t="s">
        <v>3</v>
      </c>
      <c r="BP3" s="245"/>
      <c r="BQ3" s="245"/>
      <c r="BR3" s="256"/>
      <c r="BS3" s="252"/>
      <c r="BT3" s="256"/>
      <c r="BU3" s="256"/>
      <c r="BV3" s="267"/>
      <c r="BW3" s="256"/>
      <c r="BX3" s="254"/>
      <c r="BY3" s="258"/>
      <c r="BZ3" s="252"/>
    </row>
    <row r="4" spans="1:78" ht="39.6" customHeight="1" x14ac:dyDescent="0.25">
      <c r="A4" s="261"/>
      <c r="B4" s="277"/>
      <c r="C4" s="261"/>
      <c r="D4" s="261"/>
      <c r="E4" s="261"/>
      <c r="F4" s="261"/>
      <c r="G4" s="261"/>
      <c r="H4" s="250"/>
      <c r="I4" s="250"/>
      <c r="J4" s="250"/>
      <c r="K4" s="250"/>
      <c r="L4" s="261"/>
      <c r="M4" s="261"/>
      <c r="N4" s="261"/>
      <c r="O4" s="271"/>
      <c r="P4" s="261"/>
      <c r="Q4" s="261"/>
      <c r="R4" s="261"/>
      <c r="S4" s="261"/>
      <c r="T4" s="261"/>
      <c r="U4" s="261"/>
      <c r="V4" s="261"/>
      <c r="W4" s="274"/>
      <c r="X4" s="5" t="s">
        <v>0</v>
      </c>
      <c r="Y4" s="5" t="s">
        <v>1</v>
      </c>
      <c r="Z4" s="11" t="s">
        <v>0</v>
      </c>
      <c r="AA4" s="10" t="s">
        <v>1</v>
      </c>
      <c r="AB4" s="10" t="s">
        <v>0</v>
      </c>
      <c r="AC4" s="10" t="s">
        <v>1</v>
      </c>
      <c r="AD4" s="10" t="s">
        <v>0</v>
      </c>
      <c r="AE4" s="10" t="s">
        <v>1</v>
      </c>
      <c r="AF4" s="10" t="s">
        <v>0</v>
      </c>
      <c r="AG4" s="5" t="s">
        <v>1</v>
      </c>
      <c r="AH4" s="10" t="s">
        <v>0</v>
      </c>
      <c r="AI4" s="5" t="s">
        <v>1</v>
      </c>
      <c r="AJ4" s="10" t="s">
        <v>0</v>
      </c>
      <c r="AK4" s="5" t="s">
        <v>1</v>
      </c>
      <c r="AL4" s="10" t="s">
        <v>0</v>
      </c>
      <c r="AM4" s="5" t="s">
        <v>1</v>
      </c>
      <c r="AN4" s="10" t="s">
        <v>0</v>
      </c>
      <c r="AO4" s="5" t="s">
        <v>1</v>
      </c>
      <c r="AP4" s="10" t="s">
        <v>0</v>
      </c>
      <c r="AQ4" s="5" t="s">
        <v>1</v>
      </c>
      <c r="AR4" s="5"/>
      <c r="AS4" s="5"/>
      <c r="AT4" s="10" t="s">
        <v>0</v>
      </c>
      <c r="AU4" s="5" t="s">
        <v>1</v>
      </c>
      <c r="AV4" s="10" t="s">
        <v>0</v>
      </c>
      <c r="AW4" s="5" t="s">
        <v>1</v>
      </c>
      <c r="AX4" s="10" t="s">
        <v>0</v>
      </c>
      <c r="AY4" s="5" t="s">
        <v>1</v>
      </c>
      <c r="AZ4" s="10" t="s">
        <v>0</v>
      </c>
      <c r="BA4" s="5" t="s">
        <v>1</v>
      </c>
      <c r="BB4" s="10" t="s">
        <v>0</v>
      </c>
      <c r="BC4" s="5" t="s">
        <v>1</v>
      </c>
      <c r="BD4" s="10" t="s">
        <v>0</v>
      </c>
      <c r="BE4" s="5" t="s">
        <v>1</v>
      </c>
      <c r="BF4" s="10" t="s">
        <v>0</v>
      </c>
      <c r="BG4" s="5" t="s">
        <v>1</v>
      </c>
      <c r="BH4" s="10" t="s">
        <v>0</v>
      </c>
      <c r="BI4" s="5" t="s">
        <v>1</v>
      </c>
      <c r="BJ4" s="10" t="s">
        <v>0</v>
      </c>
      <c r="BK4" s="5" t="s">
        <v>1</v>
      </c>
      <c r="BL4" s="10" t="s">
        <v>0</v>
      </c>
      <c r="BM4" s="5" t="s">
        <v>1</v>
      </c>
      <c r="BN4" s="263"/>
      <c r="BO4" s="263"/>
      <c r="BP4" s="245"/>
      <c r="BQ4" s="245"/>
      <c r="BR4" s="256"/>
      <c r="BS4" s="252"/>
      <c r="BT4" s="256"/>
      <c r="BU4" s="256"/>
      <c r="BV4" s="268"/>
      <c r="BW4" s="256"/>
      <c r="BX4" s="254"/>
      <c r="BY4" s="258"/>
      <c r="BZ4" s="252"/>
    </row>
    <row r="5" spans="1:78" s="86" customFormat="1" ht="63" customHeight="1" outlineLevel="1" x14ac:dyDescent="0.25">
      <c r="A5" s="202">
        <v>1</v>
      </c>
      <c r="B5" s="88">
        <v>1</v>
      </c>
      <c r="C5" s="89">
        <v>241764</v>
      </c>
      <c r="D5" s="89">
        <v>1166928</v>
      </c>
      <c r="E5" s="90" t="s">
        <v>86</v>
      </c>
      <c r="F5" s="91">
        <v>45977</v>
      </c>
      <c r="G5" s="91">
        <f t="shared" ref="G5:G89" si="0">F5-1</f>
        <v>45976</v>
      </c>
      <c r="H5" s="89" t="s">
        <v>191</v>
      </c>
      <c r="I5" s="89" t="s">
        <v>276</v>
      </c>
      <c r="J5" s="91" t="s">
        <v>191</v>
      </c>
      <c r="K5" s="91" t="s">
        <v>191</v>
      </c>
      <c r="L5" s="91">
        <v>46157</v>
      </c>
      <c r="M5" s="91">
        <f ca="1">TODAY()</f>
        <v>46277</v>
      </c>
      <c r="N5" s="91" t="s">
        <v>358</v>
      </c>
      <c r="O5" s="168">
        <f>IF(N5="Backfilling",30,IF(N5="Reinstatement",20,IF(N5="Shut Down",30,IF(N5="Returned",0,""))))</f>
        <v>0</v>
      </c>
      <c r="P5" s="203" t="s">
        <v>259</v>
      </c>
      <c r="Q5" s="92">
        <f ca="1">M5-G5</f>
        <v>301</v>
      </c>
      <c r="R5" s="92" t="s">
        <v>260</v>
      </c>
      <c r="S5" s="93" t="s">
        <v>116</v>
      </c>
      <c r="T5" s="94" t="s">
        <v>116</v>
      </c>
      <c r="U5" s="95" t="s">
        <v>89</v>
      </c>
      <c r="V5" s="91" t="s">
        <v>283</v>
      </c>
      <c r="W5" s="95">
        <v>71</v>
      </c>
      <c r="X5" s="96">
        <v>0</v>
      </c>
      <c r="Y5" s="96">
        <v>0</v>
      </c>
      <c r="Z5" s="97">
        <v>0</v>
      </c>
      <c r="AA5" s="96">
        <v>0</v>
      </c>
      <c r="AB5" s="96">
        <v>0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96">
        <v>0</v>
      </c>
      <c r="AJ5" s="96">
        <v>0</v>
      </c>
      <c r="AK5" s="96">
        <v>0</v>
      </c>
      <c r="AL5" s="96">
        <v>0</v>
      </c>
      <c r="AM5" s="96">
        <v>0</v>
      </c>
      <c r="AN5" s="96">
        <v>0</v>
      </c>
      <c r="AO5" s="96">
        <v>0</v>
      </c>
      <c r="AP5" s="96">
        <v>0</v>
      </c>
      <c r="AQ5" s="96">
        <v>0</v>
      </c>
      <c r="AR5" s="96">
        <v>0</v>
      </c>
      <c r="AS5" s="96">
        <v>0</v>
      </c>
      <c r="AT5" s="96">
        <v>0</v>
      </c>
      <c r="AU5" s="96">
        <v>0</v>
      </c>
      <c r="AV5" s="96">
        <v>0</v>
      </c>
      <c r="AW5" s="96">
        <v>0</v>
      </c>
      <c r="AX5" s="96">
        <v>0</v>
      </c>
      <c r="AY5" s="96">
        <v>0</v>
      </c>
      <c r="AZ5" s="96">
        <v>0</v>
      </c>
      <c r="BA5" s="96">
        <v>0</v>
      </c>
      <c r="BB5" s="96">
        <v>0</v>
      </c>
      <c r="BC5" s="96">
        <v>0</v>
      </c>
      <c r="BD5" s="96">
        <v>0</v>
      </c>
      <c r="BE5" s="96">
        <v>0</v>
      </c>
      <c r="BF5" s="96">
        <v>0</v>
      </c>
      <c r="BG5" s="96">
        <v>0</v>
      </c>
      <c r="BH5" s="96">
        <v>0</v>
      </c>
      <c r="BI5" s="96">
        <v>0</v>
      </c>
      <c r="BJ5" s="96">
        <v>0</v>
      </c>
      <c r="BK5" s="96">
        <v>0</v>
      </c>
      <c r="BL5" s="96">
        <v>0</v>
      </c>
      <c r="BM5" s="96">
        <v>0</v>
      </c>
      <c r="BN5" s="96">
        <f>X5*53+Z5*77+AB5*30+AD5*40+AF5*75+AH5*140+AJ5*640+AL5*480+AN5*450+AP5*680+AR5*85+AT5*575+AV5*2+AX5*1.5+AZ5*1800+BB5*900+BD5*1500+BF5*1500+BH5*1500+BJ5*600+BL5*750</f>
        <v>0</v>
      </c>
      <c r="BO5" s="96">
        <f>Y5*53+AA5*77+AC5*30+AE5*40+AG5*75+AI5*140+AK5*640+AM5*480+AO5*450+AQ5*680+AS5*85+AU5*575+AU5*2+AW5*1.5+AY5*1800+BA5*900+BC5*1500+BE5*1500+BG5*1500+BI5*1500+BK5*600+BM5*750</f>
        <v>0</v>
      </c>
      <c r="BP5" s="98" t="s">
        <v>116</v>
      </c>
      <c r="BQ5" s="87" t="s">
        <v>116</v>
      </c>
      <c r="BR5" s="87" t="s">
        <v>116</v>
      </c>
      <c r="BS5" s="87" t="s">
        <v>265</v>
      </c>
      <c r="BT5" s="87" t="s">
        <v>116</v>
      </c>
      <c r="BU5" s="99">
        <v>1</v>
      </c>
      <c r="BV5" s="189"/>
      <c r="BW5" s="100" t="s">
        <v>161</v>
      </c>
      <c r="BX5" s="101" t="s">
        <v>161</v>
      </c>
      <c r="BY5" s="150" t="s">
        <v>265</v>
      </c>
      <c r="BZ5" s="98" t="s">
        <v>116</v>
      </c>
    </row>
    <row r="6" spans="1:78" s="2" customFormat="1" ht="63" customHeight="1" outlineLevel="1" x14ac:dyDescent="0.25">
      <c r="A6" s="202">
        <v>2</v>
      </c>
      <c r="B6" s="120">
        <v>2</v>
      </c>
      <c r="C6" s="121">
        <v>241765</v>
      </c>
      <c r="D6" s="121">
        <v>1166932</v>
      </c>
      <c r="E6" s="122" t="s">
        <v>87</v>
      </c>
      <c r="F6" s="123">
        <v>45977</v>
      </c>
      <c r="G6" s="123">
        <f t="shared" si="0"/>
        <v>45976</v>
      </c>
      <c r="H6" s="121" t="s">
        <v>381</v>
      </c>
      <c r="I6" s="121" t="s">
        <v>385</v>
      </c>
      <c r="J6" s="123">
        <v>46129</v>
      </c>
      <c r="K6" s="123">
        <v>46309</v>
      </c>
      <c r="L6" s="123">
        <v>46371</v>
      </c>
      <c r="M6" s="123">
        <f ca="1">TODAY()</f>
        <v>46277</v>
      </c>
      <c r="N6" s="123" t="s">
        <v>157</v>
      </c>
      <c r="O6" s="127" t="str">
        <f t="shared" ref="O6:O92" si="1">IF(N6="Backfilling",30,IF(N6="Reinstatement",20,IF(N6="Shut Down",30,IF(N6="Returned",0,""))))</f>
        <v/>
      </c>
      <c r="P6" s="204" t="s">
        <v>259</v>
      </c>
      <c r="Q6" s="124">
        <f ca="1">M6-G6</f>
        <v>301</v>
      </c>
      <c r="R6" s="124" t="s">
        <v>269</v>
      </c>
      <c r="S6" s="125" t="s">
        <v>157</v>
      </c>
      <c r="T6" s="126" t="s">
        <v>42</v>
      </c>
      <c r="U6" s="127" t="s">
        <v>91</v>
      </c>
      <c r="V6" s="123" t="s">
        <v>310</v>
      </c>
      <c r="W6" s="127">
        <v>56</v>
      </c>
      <c r="X6" s="128">
        <v>300</v>
      </c>
      <c r="Y6" s="128"/>
      <c r="Z6" s="129"/>
      <c r="AA6" s="128"/>
      <c r="AB6" s="128">
        <v>0</v>
      </c>
      <c r="AC6" s="128">
        <v>0</v>
      </c>
      <c r="AD6" s="128">
        <v>100</v>
      </c>
      <c r="AE6" s="128"/>
      <c r="AF6" s="128">
        <v>50</v>
      </c>
      <c r="AG6" s="128"/>
      <c r="AH6" s="128"/>
      <c r="AI6" s="128"/>
      <c r="AJ6" s="128">
        <v>0</v>
      </c>
      <c r="AK6" s="128"/>
      <c r="AL6" s="128">
        <f>5-SUM(AM6:AM18)</f>
        <v>5</v>
      </c>
      <c r="AM6" s="128"/>
      <c r="AN6" s="128">
        <v>0</v>
      </c>
      <c r="AO6" s="128">
        <v>0</v>
      </c>
      <c r="AP6" s="128">
        <f>40-SUM(AQ7:AQ18)</f>
        <v>11</v>
      </c>
      <c r="AQ6" s="128"/>
      <c r="AR6" s="128">
        <v>10</v>
      </c>
      <c r="AS6" s="128"/>
      <c r="AT6" s="128">
        <v>35</v>
      </c>
      <c r="AU6" s="128"/>
      <c r="AV6" s="128"/>
      <c r="AW6" s="128"/>
      <c r="AX6" s="128">
        <v>6000</v>
      </c>
      <c r="AY6" s="128"/>
      <c r="AZ6" s="128">
        <v>1</v>
      </c>
      <c r="BA6" s="128"/>
      <c r="BB6" s="128">
        <v>5</v>
      </c>
      <c r="BC6" s="128"/>
      <c r="BD6" s="128">
        <v>5</v>
      </c>
      <c r="BE6" s="128"/>
      <c r="BF6" s="128">
        <v>0</v>
      </c>
      <c r="BG6" s="128">
        <v>0</v>
      </c>
      <c r="BH6" s="128">
        <v>0</v>
      </c>
      <c r="BI6" s="128">
        <v>0</v>
      </c>
      <c r="BJ6" s="128">
        <v>0</v>
      </c>
      <c r="BK6" s="128">
        <v>0</v>
      </c>
      <c r="BL6" s="128">
        <v>5</v>
      </c>
      <c r="BM6" s="128"/>
      <c r="BN6" s="128">
        <f t="shared" ref="BN6:BO105" si="2">X6*53+Z6*77+AB6*30+AD6*40+AF6*75+AH6*140+AJ6*640+AL6*480+AN6*450+AP6*680+AR6*85+AT6*575+AV6*2+AX6*1.5+AZ6*1800+BB6*900+BD6*1500+BF6*1500+BH6*1500+BJ6*600+BL6*750</f>
        <v>81055</v>
      </c>
      <c r="BO6" s="128">
        <f t="shared" si="2"/>
        <v>0</v>
      </c>
      <c r="BP6" s="125" t="s">
        <v>157</v>
      </c>
      <c r="BQ6" s="120" t="s">
        <v>157</v>
      </c>
      <c r="BR6" s="120" t="s">
        <v>42</v>
      </c>
      <c r="BS6" s="120" t="s">
        <v>42</v>
      </c>
      <c r="BT6" s="120" t="s">
        <v>42</v>
      </c>
      <c r="BU6" s="130">
        <v>2</v>
      </c>
      <c r="BV6" s="190"/>
      <c r="BW6" s="131">
        <f t="shared" ref="BW6:BW12" si="3">BO6</f>
        <v>0</v>
      </c>
      <c r="BX6" s="132" t="s">
        <v>156</v>
      </c>
      <c r="BY6" s="151" t="s">
        <v>42</v>
      </c>
      <c r="BZ6" s="133" t="s">
        <v>190</v>
      </c>
    </row>
    <row r="7" spans="1:78" s="2" customFormat="1" ht="63" customHeight="1" outlineLevel="1" x14ac:dyDescent="0.25">
      <c r="A7" s="202">
        <v>3</v>
      </c>
      <c r="B7" s="172" t="s">
        <v>158</v>
      </c>
      <c r="C7" s="173">
        <v>241765</v>
      </c>
      <c r="D7" s="173">
        <v>1166932</v>
      </c>
      <c r="E7" s="174" t="s">
        <v>87</v>
      </c>
      <c r="F7" s="175">
        <v>45977</v>
      </c>
      <c r="G7" s="175">
        <f t="shared" si="0"/>
        <v>45976</v>
      </c>
      <c r="H7" s="173" t="s">
        <v>381</v>
      </c>
      <c r="I7" s="173" t="s">
        <v>385</v>
      </c>
      <c r="J7" s="175">
        <v>46129</v>
      </c>
      <c r="K7" s="175">
        <v>46309</v>
      </c>
      <c r="L7" s="175">
        <v>46371</v>
      </c>
      <c r="M7" s="175">
        <v>46028</v>
      </c>
      <c r="N7" s="175" t="s">
        <v>240</v>
      </c>
      <c r="O7" s="179">
        <f t="shared" si="1"/>
        <v>30</v>
      </c>
      <c r="P7" s="205" t="s">
        <v>263</v>
      </c>
      <c r="Q7" s="176">
        <f>M7+30</f>
        <v>46058</v>
      </c>
      <c r="R7" s="176" t="s">
        <v>269</v>
      </c>
      <c r="S7" s="177" t="s">
        <v>177</v>
      </c>
      <c r="T7" s="178" t="s">
        <v>265</v>
      </c>
      <c r="U7" s="179" t="s">
        <v>91</v>
      </c>
      <c r="V7" s="175" t="s">
        <v>310</v>
      </c>
      <c r="W7" s="179">
        <v>56</v>
      </c>
      <c r="X7" s="180">
        <v>871.72</v>
      </c>
      <c r="Y7" s="180">
        <v>871.72</v>
      </c>
      <c r="Z7" s="181">
        <v>68.08</v>
      </c>
      <c r="AA7" s="180">
        <v>68.08</v>
      </c>
      <c r="AB7" s="180">
        <v>0</v>
      </c>
      <c r="AC7" s="180">
        <v>0</v>
      </c>
      <c r="AD7" s="180">
        <v>2</v>
      </c>
      <c r="AE7" s="180">
        <v>2</v>
      </c>
      <c r="AF7" s="180">
        <v>0</v>
      </c>
      <c r="AG7" s="180">
        <v>0</v>
      </c>
      <c r="AH7" s="180">
        <f>(7.6+8)*5</f>
        <v>78</v>
      </c>
      <c r="AI7" s="180">
        <f>(7.6+8)*5</f>
        <v>78</v>
      </c>
      <c r="AJ7" s="180">
        <v>0</v>
      </c>
      <c r="AK7" s="180">
        <v>0</v>
      </c>
      <c r="AL7" s="180">
        <v>0</v>
      </c>
      <c r="AM7" s="180">
        <v>0</v>
      </c>
      <c r="AN7" s="180">
        <v>0</v>
      </c>
      <c r="AO7" s="180">
        <v>0</v>
      </c>
      <c r="AP7" s="180">
        <v>2</v>
      </c>
      <c r="AQ7" s="180">
        <v>2</v>
      </c>
      <c r="AR7" s="180">
        <v>0</v>
      </c>
      <c r="AS7" s="180">
        <v>0</v>
      </c>
      <c r="AT7" s="180">
        <v>0</v>
      </c>
      <c r="AU7" s="180">
        <v>0</v>
      </c>
      <c r="AV7" s="180">
        <v>500</v>
      </c>
      <c r="AW7" s="180">
        <v>500</v>
      </c>
      <c r="AX7" s="180">
        <v>0</v>
      </c>
      <c r="AY7" s="180">
        <v>0</v>
      </c>
      <c r="AZ7" s="180">
        <v>0</v>
      </c>
      <c r="BA7" s="180">
        <v>0</v>
      </c>
      <c r="BB7" s="180">
        <v>0</v>
      </c>
      <c r="BC7" s="180">
        <v>0</v>
      </c>
      <c r="BD7" s="180">
        <v>0</v>
      </c>
      <c r="BE7" s="180">
        <v>0</v>
      </c>
      <c r="BF7" s="180">
        <v>0</v>
      </c>
      <c r="BG7" s="180">
        <v>0</v>
      </c>
      <c r="BH7" s="180">
        <v>0</v>
      </c>
      <c r="BI7" s="180">
        <v>0</v>
      </c>
      <c r="BJ7" s="180">
        <v>0</v>
      </c>
      <c r="BK7" s="180">
        <v>0</v>
      </c>
      <c r="BL7" s="180">
        <v>0</v>
      </c>
      <c r="BM7" s="180">
        <v>0</v>
      </c>
      <c r="BN7" s="180">
        <f t="shared" si="2"/>
        <v>64803.320000000007</v>
      </c>
      <c r="BO7" s="180">
        <f t="shared" si="2"/>
        <v>64803.320000000007</v>
      </c>
      <c r="BP7" s="177" t="s">
        <v>177</v>
      </c>
      <c r="BQ7" s="172" t="s">
        <v>265</v>
      </c>
      <c r="BR7" s="172" t="s">
        <v>177</v>
      </c>
      <c r="BS7" s="172" t="s">
        <v>250</v>
      </c>
      <c r="BT7" s="172" t="s">
        <v>406</v>
      </c>
      <c r="BU7" s="183" t="s">
        <v>158</v>
      </c>
      <c r="BV7" s="193" t="s">
        <v>369</v>
      </c>
      <c r="BW7" s="184">
        <f t="shared" si="3"/>
        <v>64803.320000000007</v>
      </c>
      <c r="BX7" s="185">
        <v>46005</v>
      </c>
      <c r="BY7" s="186" t="s">
        <v>250</v>
      </c>
      <c r="BZ7" s="182" t="s">
        <v>177</v>
      </c>
    </row>
    <row r="8" spans="1:78" s="2" customFormat="1" ht="63" customHeight="1" outlineLevel="1" x14ac:dyDescent="0.25">
      <c r="A8" s="202">
        <v>4</v>
      </c>
      <c r="B8" s="172" t="s">
        <v>159</v>
      </c>
      <c r="C8" s="173">
        <v>241765</v>
      </c>
      <c r="D8" s="173">
        <v>1166932</v>
      </c>
      <c r="E8" s="174" t="s">
        <v>87</v>
      </c>
      <c r="F8" s="175">
        <v>45977</v>
      </c>
      <c r="G8" s="175">
        <f t="shared" si="0"/>
        <v>45976</v>
      </c>
      <c r="H8" s="173" t="s">
        <v>381</v>
      </c>
      <c r="I8" s="173" t="s">
        <v>385</v>
      </c>
      <c r="J8" s="175">
        <v>46129</v>
      </c>
      <c r="K8" s="175">
        <v>46309</v>
      </c>
      <c r="L8" s="175">
        <v>46371</v>
      </c>
      <c r="M8" s="175">
        <v>46034</v>
      </c>
      <c r="N8" s="175" t="s">
        <v>240</v>
      </c>
      <c r="O8" s="179">
        <f t="shared" si="1"/>
        <v>30</v>
      </c>
      <c r="P8" s="205" t="s">
        <v>263</v>
      </c>
      <c r="Q8" s="176">
        <f>M8-G8</f>
        <v>58</v>
      </c>
      <c r="R8" s="176" t="s">
        <v>269</v>
      </c>
      <c r="S8" s="177" t="s">
        <v>177</v>
      </c>
      <c r="T8" s="178" t="s">
        <v>265</v>
      </c>
      <c r="U8" s="179" t="s">
        <v>91</v>
      </c>
      <c r="V8" s="175" t="s">
        <v>310</v>
      </c>
      <c r="W8" s="179">
        <v>56</v>
      </c>
      <c r="X8" s="180">
        <v>649.41</v>
      </c>
      <c r="Y8" s="180">
        <v>649.41</v>
      </c>
      <c r="Z8" s="181">
        <f>74.2+61.86</f>
        <v>136.06</v>
      </c>
      <c r="AA8" s="180">
        <f>74.2+61.86</f>
        <v>136.06</v>
      </c>
      <c r="AB8" s="180"/>
      <c r="AC8" s="180"/>
      <c r="AD8" s="180">
        <f>8+178</f>
        <v>186</v>
      </c>
      <c r="AE8" s="180">
        <f>8+178</f>
        <v>186</v>
      </c>
      <c r="AF8" s="180"/>
      <c r="AG8" s="180"/>
      <c r="AH8" s="180">
        <f>(8+9+7.7)*5</f>
        <v>123.5</v>
      </c>
      <c r="AI8" s="180">
        <f>(8+9+7.7)*5</f>
        <v>123.5</v>
      </c>
      <c r="AJ8" s="180"/>
      <c r="AK8" s="180"/>
      <c r="AL8" s="180"/>
      <c r="AM8" s="180"/>
      <c r="AN8" s="180"/>
      <c r="AO8" s="180"/>
      <c r="AP8" s="180">
        <f>3+1</f>
        <v>4</v>
      </c>
      <c r="AQ8" s="180">
        <f>3+1</f>
        <v>4</v>
      </c>
      <c r="AR8" s="180">
        <f>1</f>
        <v>1</v>
      </c>
      <c r="AS8" s="180">
        <v>1</v>
      </c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>
        <f t="shared" si="2"/>
        <v>72430.350000000006</v>
      </c>
      <c r="BO8" s="180">
        <f t="shared" si="2"/>
        <v>72430.350000000006</v>
      </c>
      <c r="BP8" s="177" t="s">
        <v>177</v>
      </c>
      <c r="BQ8" s="172" t="s">
        <v>265</v>
      </c>
      <c r="BR8" s="172" t="s">
        <v>177</v>
      </c>
      <c r="BS8" s="172" t="s">
        <v>250</v>
      </c>
      <c r="BT8" s="172" t="s">
        <v>411</v>
      </c>
      <c r="BU8" s="183" t="s">
        <v>159</v>
      </c>
      <c r="BV8" s="193" t="s">
        <v>373</v>
      </c>
      <c r="BW8" s="184">
        <f t="shared" si="3"/>
        <v>72430.350000000006</v>
      </c>
      <c r="BX8" s="185">
        <v>46008</v>
      </c>
      <c r="BY8" s="186" t="s">
        <v>250</v>
      </c>
      <c r="BZ8" s="182" t="s">
        <v>177</v>
      </c>
    </row>
    <row r="9" spans="1:78" s="2" customFormat="1" ht="63" customHeight="1" outlineLevel="1" x14ac:dyDescent="0.25">
      <c r="A9" s="202">
        <v>5</v>
      </c>
      <c r="B9" s="172" t="s">
        <v>188</v>
      </c>
      <c r="C9" s="173">
        <v>241765</v>
      </c>
      <c r="D9" s="173">
        <v>1166932</v>
      </c>
      <c r="E9" s="174" t="s">
        <v>87</v>
      </c>
      <c r="F9" s="175">
        <v>45977</v>
      </c>
      <c r="G9" s="175">
        <f t="shared" ref="G9" si="4">F9-1</f>
        <v>45976</v>
      </c>
      <c r="H9" s="173" t="s">
        <v>381</v>
      </c>
      <c r="I9" s="173" t="s">
        <v>385</v>
      </c>
      <c r="J9" s="175">
        <v>46129</v>
      </c>
      <c r="K9" s="175">
        <v>46309</v>
      </c>
      <c r="L9" s="175">
        <v>46371</v>
      </c>
      <c r="M9" s="175">
        <v>46219</v>
      </c>
      <c r="N9" s="175" t="s">
        <v>239</v>
      </c>
      <c r="O9" s="179">
        <f t="shared" si="1"/>
        <v>20</v>
      </c>
      <c r="P9" s="205" t="s">
        <v>263</v>
      </c>
      <c r="Q9" s="176">
        <f>M9-G9</f>
        <v>243</v>
      </c>
      <c r="R9" s="176" t="s">
        <v>269</v>
      </c>
      <c r="S9" s="177" t="s">
        <v>3</v>
      </c>
      <c r="T9" s="178" t="s">
        <v>265</v>
      </c>
      <c r="U9" s="179" t="s">
        <v>91</v>
      </c>
      <c r="V9" s="175" t="s">
        <v>310</v>
      </c>
      <c r="W9" s="179" t="s">
        <v>311</v>
      </c>
      <c r="X9" s="180">
        <v>2345</v>
      </c>
      <c r="Y9" s="180">
        <v>2345</v>
      </c>
      <c r="Z9" s="181">
        <f>(9.56*6)+(7.96*6)+(10.35*6)+(10.8*6)+(8.77*6)+(8.31*6)</f>
        <v>334.5</v>
      </c>
      <c r="AA9" s="180">
        <f>(9.56*6)+(7.96*6)+(10.35*6)+(10.8*6)+(8.77*6)+(8.31*6)</f>
        <v>334.5</v>
      </c>
      <c r="AB9" s="180"/>
      <c r="AC9" s="180"/>
      <c r="AD9" s="180">
        <f>136+400+80</f>
        <v>616</v>
      </c>
      <c r="AE9" s="180">
        <f>136+400+80</f>
        <v>616</v>
      </c>
      <c r="AF9" s="180"/>
      <c r="AG9" s="180"/>
      <c r="AH9" s="180">
        <v>280</v>
      </c>
      <c r="AI9" s="180">
        <v>280</v>
      </c>
      <c r="AJ9" s="180"/>
      <c r="AK9" s="180"/>
      <c r="AL9" s="180"/>
      <c r="AM9" s="180"/>
      <c r="AN9" s="180"/>
      <c r="AO9" s="180"/>
      <c r="AP9" s="180">
        <v>8</v>
      </c>
      <c r="AQ9" s="180">
        <v>8</v>
      </c>
      <c r="AR9" s="180">
        <v>1</v>
      </c>
      <c r="AS9" s="180">
        <v>1</v>
      </c>
      <c r="AT9" s="180"/>
      <c r="AU9" s="180"/>
      <c r="AV9" s="180">
        <v>1284</v>
      </c>
      <c r="AW9" s="180">
        <v>1284</v>
      </c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>
        <f t="shared" ref="BN9:BN20" si="5">X9*53+Z9*77+AB9*30+AD9*40+AF9*75+AH9*140+AJ9*640+AL9*480+AN9*450+AP9*680+AR9*85+AT9*575+AV9*2+AX9*1.5+AZ9*1800+BB9*900+BD9*1500+BF9*1500+BH9*1500+BJ9*600+BL9*750</f>
        <v>221974.5</v>
      </c>
      <c r="BO9" s="180">
        <f>Y9*53+AA9*77+AC9*30+AE9*40+AG9*75+AI9*140+AK9*640+AM9*480+AO9*450+AQ9*680+AS9*85+AU9*575+AW9*2+AY9*1.5+BA9*1800+BC9*900+BE9*1500+BG9*1500+BI9*1500+BK9*600+BM9*750</f>
        <v>221974.5</v>
      </c>
      <c r="BP9" s="177" t="s">
        <v>177</v>
      </c>
      <c r="BQ9" s="172" t="s">
        <v>265</v>
      </c>
      <c r="BR9" s="172" t="s">
        <v>177</v>
      </c>
      <c r="BS9" s="172" t="s">
        <v>250</v>
      </c>
      <c r="BT9" s="172" t="s">
        <v>443</v>
      </c>
      <c r="BU9" s="183" t="s">
        <v>188</v>
      </c>
      <c r="BV9" s="193"/>
      <c r="BW9" s="184">
        <f t="shared" si="3"/>
        <v>221974.5</v>
      </c>
      <c r="BX9" s="185">
        <v>46078</v>
      </c>
      <c r="BY9" s="186" t="s">
        <v>42</v>
      </c>
      <c r="BZ9" s="182" t="s">
        <v>177</v>
      </c>
    </row>
    <row r="10" spans="1:78" s="2" customFormat="1" ht="63" customHeight="1" outlineLevel="1" x14ac:dyDescent="0.25">
      <c r="A10" s="202">
        <v>6</v>
      </c>
      <c r="B10" s="172" t="s">
        <v>209</v>
      </c>
      <c r="C10" s="173">
        <v>241765</v>
      </c>
      <c r="D10" s="173">
        <v>1166932</v>
      </c>
      <c r="E10" s="174" t="s">
        <v>87</v>
      </c>
      <c r="F10" s="175">
        <v>45977</v>
      </c>
      <c r="G10" s="175">
        <f t="shared" ref="G10" si="6">F10-1</f>
        <v>45976</v>
      </c>
      <c r="H10" s="173" t="s">
        <v>381</v>
      </c>
      <c r="I10" s="173" t="s">
        <v>385</v>
      </c>
      <c r="J10" s="175">
        <v>46129</v>
      </c>
      <c r="K10" s="175">
        <v>46309</v>
      </c>
      <c r="L10" s="175">
        <v>46371</v>
      </c>
      <c r="M10" s="175">
        <v>46127</v>
      </c>
      <c r="N10" s="175" t="s">
        <v>239</v>
      </c>
      <c r="O10" s="179">
        <f t="shared" si="1"/>
        <v>20</v>
      </c>
      <c r="P10" s="205" t="s">
        <v>263</v>
      </c>
      <c r="Q10" s="176">
        <f>M10-G10</f>
        <v>151</v>
      </c>
      <c r="R10" s="176" t="s">
        <v>269</v>
      </c>
      <c r="S10" s="177" t="s">
        <v>177</v>
      </c>
      <c r="T10" s="178" t="s">
        <v>265</v>
      </c>
      <c r="U10" s="179" t="s">
        <v>91</v>
      </c>
      <c r="V10" s="175" t="s">
        <v>310</v>
      </c>
      <c r="W10" s="179" t="s">
        <v>311</v>
      </c>
      <c r="X10" s="180">
        <v>241.66</v>
      </c>
      <c r="Y10" s="180">
        <v>241.66</v>
      </c>
      <c r="Z10" s="181">
        <v>33.36</v>
      </c>
      <c r="AA10" s="180">
        <v>33.36</v>
      </c>
      <c r="AB10" s="180">
        <v>0</v>
      </c>
      <c r="AC10" s="180">
        <v>0</v>
      </c>
      <c r="AD10" s="180">
        <v>184</v>
      </c>
      <c r="AE10" s="180">
        <v>184</v>
      </c>
      <c r="AF10" s="180">
        <v>0</v>
      </c>
      <c r="AG10" s="180">
        <v>0</v>
      </c>
      <c r="AH10" s="180">
        <f>8.34*5</f>
        <v>41.7</v>
      </c>
      <c r="AI10" s="180">
        <v>41.7</v>
      </c>
      <c r="AJ10" s="180">
        <v>0</v>
      </c>
      <c r="AK10" s="180">
        <v>0</v>
      </c>
      <c r="AL10" s="180">
        <v>0</v>
      </c>
      <c r="AM10" s="180">
        <v>0</v>
      </c>
      <c r="AN10" s="180">
        <v>0</v>
      </c>
      <c r="AO10" s="180">
        <v>0</v>
      </c>
      <c r="AP10" s="180">
        <v>0</v>
      </c>
      <c r="AQ10" s="180">
        <v>0</v>
      </c>
      <c r="AR10" s="180">
        <v>0</v>
      </c>
      <c r="AS10" s="180">
        <v>0</v>
      </c>
      <c r="AT10" s="180">
        <v>0</v>
      </c>
      <c r="AU10" s="180"/>
      <c r="AV10" s="180">
        <v>0</v>
      </c>
      <c r="AW10" s="180">
        <v>0</v>
      </c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>
        <f t="shared" si="5"/>
        <v>28574.699999999997</v>
      </c>
      <c r="BO10" s="180">
        <f>Y10*53+AA10*77+AC10*30+AE10*40+AG10*75+AI10*140+AK10*640+AM10*480+AO10*450+AQ10*680+AS10*85+AU10*575+AW10*2+AY10*1.5+BA10*1800+BC10*900+BE10*1500+BG10*1500+BI10*1500+BK10*600+BM10*750</f>
        <v>28574.699999999997</v>
      </c>
      <c r="BP10" s="177" t="s">
        <v>177</v>
      </c>
      <c r="BQ10" s="172" t="s">
        <v>265</v>
      </c>
      <c r="BR10" s="172" t="s">
        <v>177</v>
      </c>
      <c r="BS10" s="172" t="s">
        <v>250</v>
      </c>
      <c r="BT10" s="172" t="s">
        <v>411</v>
      </c>
      <c r="BU10" s="183" t="s">
        <v>209</v>
      </c>
      <c r="BV10" s="193"/>
      <c r="BW10" s="184">
        <f t="shared" si="3"/>
        <v>28574.699999999997</v>
      </c>
      <c r="BX10" s="185">
        <v>46107</v>
      </c>
      <c r="BY10" s="186" t="s">
        <v>250</v>
      </c>
      <c r="BZ10" s="182" t="s">
        <v>177</v>
      </c>
    </row>
    <row r="11" spans="1:78" s="2" customFormat="1" ht="63" customHeight="1" outlineLevel="1" x14ac:dyDescent="0.25">
      <c r="A11" s="202">
        <v>7</v>
      </c>
      <c r="B11" s="172" t="s">
        <v>210</v>
      </c>
      <c r="C11" s="173">
        <v>241765</v>
      </c>
      <c r="D11" s="173">
        <v>1166932</v>
      </c>
      <c r="E11" s="174" t="s">
        <v>87</v>
      </c>
      <c r="F11" s="175">
        <v>45977</v>
      </c>
      <c r="G11" s="175">
        <f t="shared" ref="G11" si="7">F11-1</f>
        <v>45976</v>
      </c>
      <c r="H11" s="173" t="s">
        <v>381</v>
      </c>
      <c r="I11" s="173" t="s">
        <v>385</v>
      </c>
      <c r="J11" s="175">
        <v>46129</v>
      </c>
      <c r="K11" s="175">
        <v>46309</v>
      </c>
      <c r="L11" s="175">
        <v>46371</v>
      </c>
      <c r="M11" s="175">
        <v>46139</v>
      </c>
      <c r="N11" s="175" t="s">
        <v>240</v>
      </c>
      <c r="O11" s="179">
        <f t="shared" si="1"/>
        <v>30</v>
      </c>
      <c r="P11" s="205" t="s">
        <v>263</v>
      </c>
      <c r="Q11" s="176">
        <f>M11-G11</f>
        <v>163</v>
      </c>
      <c r="R11" s="176" t="s">
        <v>269</v>
      </c>
      <c r="S11" s="177" t="s">
        <v>177</v>
      </c>
      <c r="T11" s="178" t="s">
        <v>42</v>
      </c>
      <c r="U11" s="179" t="s">
        <v>91</v>
      </c>
      <c r="V11" s="175" t="s">
        <v>310</v>
      </c>
      <c r="W11" s="179" t="s">
        <v>311</v>
      </c>
      <c r="X11" s="180">
        <v>1421</v>
      </c>
      <c r="Y11" s="180">
        <v>1421</v>
      </c>
      <c r="Z11" s="181"/>
      <c r="AA11" s="180"/>
      <c r="AB11" s="180">
        <v>0</v>
      </c>
      <c r="AC11" s="180">
        <v>0</v>
      </c>
      <c r="AD11" s="180">
        <v>0</v>
      </c>
      <c r="AE11" s="180">
        <v>0</v>
      </c>
      <c r="AF11" s="180">
        <v>0</v>
      </c>
      <c r="AG11" s="180">
        <v>0</v>
      </c>
      <c r="AH11" s="180">
        <v>0</v>
      </c>
      <c r="AI11" s="180">
        <v>0</v>
      </c>
      <c r="AJ11" s="180">
        <v>354</v>
      </c>
      <c r="AK11" s="180">
        <v>354</v>
      </c>
      <c r="AL11" s="180">
        <v>0</v>
      </c>
      <c r="AM11" s="180">
        <v>0</v>
      </c>
      <c r="AN11" s="180">
        <v>0</v>
      </c>
      <c r="AO11" s="180">
        <v>0</v>
      </c>
      <c r="AP11" s="180">
        <v>2</v>
      </c>
      <c r="AQ11" s="180">
        <v>2</v>
      </c>
      <c r="AR11" s="180"/>
      <c r="AS11" s="180">
        <v>0</v>
      </c>
      <c r="AT11" s="180">
        <v>0</v>
      </c>
      <c r="AU11" s="180"/>
      <c r="AV11" s="180">
        <v>1000</v>
      </c>
      <c r="AW11" s="180">
        <v>1000</v>
      </c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>
        <f t="shared" si="5"/>
        <v>305233</v>
      </c>
      <c r="BO11" s="180">
        <f t="shared" ref="BO11" si="8">Y11*53+AA11*77+AC11*30+AE11*40+AG11*75+AI11*140+AK11*640+AM11*480+AO11*450+AQ11*680+AS11*85+AU11*575+AW11*2+AY11*1.5+BA11*1800+BC11*900+BE11*1500+BG11*1500+BI11*1500+BK11*600+BM11*750</f>
        <v>305233</v>
      </c>
      <c r="BP11" s="177" t="s">
        <v>177</v>
      </c>
      <c r="BQ11" s="172" t="s">
        <v>265</v>
      </c>
      <c r="BR11" s="172" t="s">
        <v>177</v>
      </c>
      <c r="BS11" s="172" t="s">
        <v>250</v>
      </c>
      <c r="BT11" s="172" t="s">
        <v>424</v>
      </c>
      <c r="BU11" s="183" t="s">
        <v>210</v>
      </c>
      <c r="BV11" s="193"/>
      <c r="BW11" s="184">
        <f t="shared" si="3"/>
        <v>305233</v>
      </c>
      <c r="BX11" s="185">
        <v>46107</v>
      </c>
      <c r="BY11" s="186" t="s">
        <v>250</v>
      </c>
      <c r="BZ11" s="182" t="s">
        <v>177</v>
      </c>
    </row>
    <row r="12" spans="1:78" s="2" customFormat="1" ht="63" customHeight="1" outlineLevel="1" x14ac:dyDescent="0.25">
      <c r="A12" s="202">
        <v>8</v>
      </c>
      <c r="B12" s="172" t="s">
        <v>211</v>
      </c>
      <c r="C12" s="173">
        <v>241765</v>
      </c>
      <c r="D12" s="173">
        <v>1166932</v>
      </c>
      <c r="E12" s="174" t="s">
        <v>87</v>
      </c>
      <c r="F12" s="175">
        <v>45977</v>
      </c>
      <c r="G12" s="175">
        <f t="shared" ref="G12" si="9">F12-1</f>
        <v>45976</v>
      </c>
      <c r="H12" s="173" t="s">
        <v>381</v>
      </c>
      <c r="I12" s="173" t="s">
        <v>385</v>
      </c>
      <c r="J12" s="175">
        <v>46129</v>
      </c>
      <c r="K12" s="175">
        <v>46309</v>
      </c>
      <c r="L12" s="175">
        <v>46371</v>
      </c>
      <c r="M12" s="175">
        <v>46232</v>
      </c>
      <c r="N12" s="175" t="s">
        <v>239</v>
      </c>
      <c r="O12" s="179">
        <f t="shared" si="1"/>
        <v>20</v>
      </c>
      <c r="P12" s="205" t="s">
        <v>263</v>
      </c>
      <c r="Q12" s="176">
        <f t="shared" ref="Q12:Q16" si="10">M12-G12</f>
        <v>256</v>
      </c>
      <c r="R12" s="176" t="s">
        <v>269</v>
      </c>
      <c r="S12" s="177" t="s">
        <v>177</v>
      </c>
      <c r="T12" s="178" t="s">
        <v>42</v>
      </c>
      <c r="U12" s="179" t="s">
        <v>91</v>
      </c>
      <c r="V12" s="175" t="s">
        <v>314</v>
      </c>
      <c r="W12" s="179" t="s">
        <v>311</v>
      </c>
      <c r="X12" s="180">
        <v>1351.24</v>
      </c>
      <c r="Y12" s="180">
        <v>1351.24</v>
      </c>
      <c r="Z12" s="181">
        <v>0</v>
      </c>
      <c r="AA12" s="180">
        <v>0</v>
      </c>
      <c r="AB12" s="180">
        <v>0</v>
      </c>
      <c r="AC12" s="180">
        <v>0</v>
      </c>
      <c r="AD12" s="180">
        <v>986</v>
      </c>
      <c r="AE12" s="180">
        <v>986</v>
      </c>
      <c r="AF12" s="180">
        <v>20</v>
      </c>
      <c r="AG12" s="180">
        <v>20</v>
      </c>
      <c r="AH12" s="180">
        <v>55</v>
      </c>
      <c r="AI12" s="180">
        <v>55</v>
      </c>
      <c r="AJ12" s="180">
        <v>0</v>
      </c>
      <c r="AK12" s="180">
        <v>0</v>
      </c>
      <c r="AL12" s="180">
        <v>0</v>
      </c>
      <c r="AM12" s="180">
        <v>0</v>
      </c>
      <c r="AN12" s="180">
        <v>0</v>
      </c>
      <c r="AO12" s="180">
        <v>0</v>
      </c>
      <c r="AP12" s="180">
        <v>6</v>
      </c>
      <c r="AQ12" s="180">
        <v>6</v>
      </c>
      <c r="AR12" s="180">
        <v>1</v>
      </c>
      <c r="AS12" s="180">
        <v>1</v>
      </c>
      <c r="AT12" s="180">
        <v>0</v>
      </c>
      <c r="AU12" s="180"/>
      <c r="AV12" s="180">
        <v>411</v>
      </c>
      <c r="AW12" s="180">
        <v>411</v>
      </c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>
        <f t="shared" si="5"/>
        <v>125242.72</v>
      </c>
      <c r="BO12" s="180">
        <f t="shared" ref="BO12:BO16" si="11">Y12*53+AA12*77+AC12*30+AE12*40+AG12*75+AI12*140+AK12*640+AM12*480+AO12*450+AQ12*680+AS12*85+AU12*575+AW12*2+AY12*1.5+BA12*1800+BC12*900+BE12*1500+BG12*1500+BI12*1500+BK12*600+BM12*750</f>
        <v>125242.72</v>
      </c>
      <c r="BP12" s="226" t="s">
        <v>177</v>
      </c>
      <c r="BQ12" s="172" t="s">
        <v>265</v>
      </c>
      <c r="BR12" s="172" t="s">
        <v>177</v>
      </c>
      <c r="BS12" s="172" t="s">
        <v>250</v>
      </c>
      <c r="BT12" s="172" t="s">
        <v>462</v>
      </c>
      <c r="BU12" s="183" t="s">
        <v>211</v>
      </c>
      <c r="BV12" s="193"/>
      <c r="BW12" s="184">
        <f t="shared" si="3"/>
        <v>125242.72</v>
      </c>
      <c r="BX12" s="227">
        <v>46110</v>
      </c>
      <c r="BY12" s="186" t="s">
        <v>250</v>
      </c>
      <c r="BZ12" s="182" t="s">
        <v>177</v>
      </c>
    </row>
    <row r="13" spans="1:78" s="2" customFormat="1" ht="63" customHeight="1" outlineLevel="1" x14ac:dyDescent="0.25">
      <c r="A13" s="202">
        <v>9</v>
      </c>
      <c r="B13" s="172" t="s">
        <v>223</v>
      </c>
      <c r="C13" s="173">
        <v>241765</v>
      </c>
      <c r="D13" s="173">
        <v>1166932</v>
      </c>
      <c r="E13" s="174" t="s">
        <v>87</v>
      </c>
      <c r="F13" s="175">
        <v>45977</v>
      </c>
      <c r="G13" s="175">
        <v>45976</v>
      </c>
      <c r="H13" s="173" t="s">
        <v>381</v>
      </c>
      <c r="I13" s="173" t="s">
        <v>385</v>
      </c>
      <c r="J13" s="175">
        <v>46129</v>
      </c>
      <c r="K13" s="175">
        <v>46309</v>
      </c>
      <c r="L13" s="175">
        <v>46371</v>
      </c>
      <c r="M13" s="175">
        <v>46135</v>
      </c>
      <c r="N13" s="175" t="s">
        <v>240</v>
      </c>
      <c r="O13" s="179">
        <f t="shared" si="1"/>
        <v>30</v>
      </c>
      <c r="P13" s="205" t="s">
        <v>263</v>
      </c>
      <c r="Q13" s="176">
        <f t="shared" si="10"/>
        <v>159</v>
      </c>
      <c r="R13" s="176" t="s">
        <v>269</v>
      </c>
      <c r="S13" s="177" t="s">
        <v>177</v>
      </c>
      <c r="T13" s="178" t="s">
        <v>42</v>
      </c>
      <c r="U13" s="179" t="s">
        <v>91</v>
      </c>
      <c r="V13" s="175" t="s">
        <v>310</v>
      </c>
      <c r="W13" s="179" t="s">
        <v>311</v>
      </c>
      <c r="X13" s="180">
        <v>202.3</v>
      </c>
      <c r="Y13" s="180">
        <v>202.3</v>
      </c>
      <c r="Z13" s="181">
        <v>0</v>
      </c>
      <c r="AA13" s="180">
        <v>0</v>
      </c>
      <c r="AB13" s="180">
        <v>0</v>
      </c>
      <c r="AC13" s="180">
        <v>0</v>
      </c>
      <c r="AD13" s="180">
        <v>0</v>
      </c>
      <c r="AE13" s="180">
        <v>0</v>
      </c>
      <c r="AF13" s="180">
        <v>0</v>
      </c>
      <c r="AG13" s="180">
        <v>0</v>
      </c>
      <c r="AH13" s="180">
        <v>0</v>
      </c>
      <c r="AI13" s="180">
        <v>0</v>
      </c>
      <c r="AJ13" s="180">
        <v>0</v>
      </c>
      <c r="AK13" s="180">
        <v>0</v>
      </c>
      <c r="AL13" s="180">
        <v>0</v>
      </c>
      <c r="AM13" s="180">
        <v>0</v>
      </c>
      <c r="AN13" s="180">
        <v>0</v>
      </c>
      <c r="AO13" s="180">
        <v>0</v>
      </c>
      <c r="AP13" s="180">
        <v>3</v>
      </c>
      <c r="AQ13" s="180">
        <v>3</v>
      </c>
      <c r="AR13" s="180">
        <v>1</v>
      </c>
      <c r="AS13" s="180">
        <v>1</v>
      </c>
      <c r="AT13" s="180">
        <v>0</v>
      </c>
      <c r="AU13" s="180"/>
      <c r="AV13" s="180">
        <v>175</v>
      </c>
      <c r="AW13" s="180">
        <v>175</v>
      </c>
      <c r="AX13" s="180">
        <v>0</v>
      </c>
      <c r="AY13" s="180">
        <v>0</v>
      </c>
      <c r="AZ13" s="180">
        <v>0</v>
      </c>
      <c r="BA13" s="180">
        <v>0</v>
      </c>
      <c r="BB13" s="180">
        <v>0</v>
      </c>
      <c r="BC13" s="180">
        <v>0</v>
      </c>
      <c r="BD13" s="180">
        <v>0</v>
      </c>
      <c r="BE13" s="180">
        <v>0</v>
      </c>
      <c r="BF13" s="180">
        <v>0</v>
      </c>
      <c r="BG13" s="180">
        <v>0</v>
      </c>
      <c r="BH13" s="180">
        <v>0</v>
      </c>
      <c r="BI13" s="180">
        <v>0</v>
      </c>
      <c r="BJ13" s="180">
        <v>0</v>
      </c>
      <c r="BK13" s="180">
        <v>0</v>
      </c>
      <c r="BL13" s="180">
        <v>0</v>
      </c>
      <c r="BM13" s="180">
        <v>0</v>
      </c>
      <c r="BN13" s="180">
        <f t="shared" si="5"/>
        <v>13196.900000000001</v>
      </c>
      <c r="BO13" s="180">
        <f t="shared" si="11"/>
        <v>13196.900000000001</v>
      </c>
      <c r="BP13" s="177" t="s">
        <v>177</v>
      </c>
      <c r="BQ13" s="172" t="s">
        <v>265</v>
      </c>
      <c r="BR13" s="172" t="s">
        <v>177</v>
      </c>
      <c r="BS13" s="172" t="s">
        <v>250</v>
      </c>
      <c r="BT13" s="172" t="s">
        <v>424</v>
      </c>
      <c r="BU13" s="183" t="s">
        <v>223</v>
      </c>
      <c r="BV13" s="193"/>
      <c r="BW13" s="184">
        <f>BO13</f>
        <v>13196.900000000001</v>
      </c>
      <c r="BX13" s="185">
        <v>46121</v>
      </c>
      <c r="BY13" s="186" t="s">
        <v>250</v>
      </c>
      <c r="BZ13" s="182" t="s">
        <v>177</v>
      </c>
    </row>
    <row r="14" spans="1:78" s="2" customFormat="1" ht="63" customHeight="1" outlineLevel="1" x14ac:dyDescent="0.25">
      <c r="A14" s="202">
        <v>10</v>
      </c>
      <c r="B14" s="172" t="s">
        <v>224</v>
      </c>
      <c r="C14" s="173">
        <v>241765</v>
      </c>
      <c r="D14" s="173">
        <v>1166932</v>
      </c>
      <c r="E14" s="174" t="s">
        <v>87</v>
      </c>
      <c r="F14" s="175">
        <v>45977</v>
      </c>
      <c r="G14" s="175">
        <v>45976</v>
      </c>
      <c r="H14" s="173" t="s">
        <v>381</v>
      </c>
      <c r="I14" s="173" t="s">
        <v>385</v>
      </c>
      <c r="J14" s="175">
        <v>46129</v>
      </c>
      <c r="K14" s="175">
        <v>46309</v>
      </c>
      <c r="L14" s="175">
        <v>46371</v>
      </c>
      <c r="M14" s="175">
        <v>46138</v>
      </c>
      <c r="N14" s="175" t="s">
        <v>240</v>
      </c>
      <c r="O14" s="179">
        <f t="shared" si="1"/>
        <v>30</v>
      </c>
      <c r="P14" s="205" t="s">
        <v>263</v>
      </c>
      <c r="Q14" s="176">
        <f t="shared" si="10"/>
        <v>162</v>
      </c>
      <c r="R14" s="176" t="s">
        <v>269</v>
      </c>
      <c r="S14" s="177" t="s">
        <v>177</v>
      </c>
      <c r="T14" s="178" t="s">
        <v>42</v>
      </c>
      <c r="U14" s="179" t="s">
        <v>91</v>
      </c>
      <c r="V14" s="175" t="s">
        <v>310</v>
      </c>
      <c r="W14" s="179" t="s">
        <v>311</v>
      </c>
      <c r="X14" s="180">
        <v>242.08</v>
      </c>
      <c r="Y14" s="180">
        <v>242.08</v>
      </c>
      <c r="Z14" s="181">
        <f>8.27*4</f>
        <v>33.08</v>
      </c>
      <c r="AA14" s="180">
        <v>33.08</v>
      </c>
      <c r="AB14" s="180">
        <v>0</v>
      </c>
      <c r="AC14" s="180">
        <v>0</v>
      </c>
      <c r="AD14" s="180">
        <v>132</v>
      </c>
      <c r="AE14" s="180">
        <v>132</v>
      </c>
      <c r="AF14" s="180">
        <v>0</v>
      </c>
      <c r="AG14" s="180">
        <v>0</v>
      </c>
      <c r="AH14" s="180">
        <f>8.27*5</f>
        <v>41.349999999999994</v>
      </c>
      <c r="AI14" s="180">
        <f>8.27*5</f>
        <v>41.349999999999994</v>
      </c>
      <c r="AJ14" s="180">
        <v>0</v>
      </c>
      <c r="AK14" s="180">
        <v>0</v>
      </c>
      <c r="AL14" s="180">
        <v>0</v>
      </c>
      <c r="AM14" s="180">
        <v>0</v>
      </c>
      <c r="AN14" s="180">
        <v>0</v>
      </c>
      <c r="AO14" s="180">
        <v>0</v>
      </c>
      <c r="AP14" s="180">
        <v>0</v>
      </c>
      <c r="AQ14" s="180">
        <v>0</v>
      </c>
      <c r="AR14" s="180">
        <v>0</v>
      </c>
      <c r="AS14" s="180">
        <v>0</v>
      </c>
      <c r="AT14" s="180">
        <v>0</v>
      </c>
      <c r="AU14" s="180"/>
      <c r="AV14" s="180">
        <v>0</v>
      </c>
      <c r="AW14" s="180">
        <v>0</v>
      </c>
      <c r="AX14" s="180">
        <v>0</v>
      </c>
      <c r="AY14" s="180">
        <v>0</v>
      </c>
      <c r="AZ14" s="180">
        <v>0</v>
      </c>
      <c r="BA14" s="180">
        <v>0</v>
      </c>
      <c r="BB14" s="180">
        <v>0</v>
      </c>
      <c r="BC14" s="180">
        <v>0</v>
      </c>
      <c r="BD14" s="180">
        <v>0</v>
      </c>
      <c r="BE14" s="180">
        <v>0</v>
      </c>
      <c r="BF14" s="180">
        <v>0</v>
      </c>
      <c r="BG14" s="180">
        <v>0</v>
      </c>
      <c r="BH14" s="180">
        <v>0</v>
      </c>
      <c r="BI14" s="180">
        <v>0</v>
      </c>
      <c r="BJ14" s="180">
        <v>0</v>
      </c>
      <c r="BK14" s="180">
        <v>0</v>
      </c>
      <c r="BL14" s="180">
        <v>0</v>
      </c>
      <c r="BM14" s="180">
        <v>0</v>
      </c>
      <c r="BN14" s="180">
        <f t="shared" si="5"/>
        <v>26446.400000000001</v>
      </c>
      <c r="BO14" s="180">
        <f t="shared" si="11"/>
        <v>26446.400000000001</v>
      </c>
      <c r="BP14" s="226" t="s">
        <v>177</v>
      </c>
      <c r="BQ14" s="172" t="s">
        <v>265</v>
      </c>
      <c r="BR14" s="172" t="s">
        <v>177</v>
      </c>
      <c r="BS14" s="172" t="s">
        <v>250</v>
      </c>
      <c r="BT14" s="172" t="s">
        <v>462</v>
      </c>
      <c r="BU14" s="183" t="s">
        <v>224</v>
      </c>
      <c r="BV14" s="193"/>
      <c r="BW14" s="184">
        <f>BO14</f>
        <v>26446.400000000001</v>
      </c>
      <c r="BX14" s="227">
        <v>46124</v>
      </c>
      <c r="BY14" s="186" t="s">
        <v>250</v>
      </c>
      <c r="BZ14" s="182" t="s">
        <v>177</v>
      </c>
    </row>
    <row r="15" spans="1:78" s="2" customFormat="1" ht="63" customHeight="1" outlineLevel="1" x14ac:dyDescent="0.25">
      <c r="A15" s="202">
        <v>11</v>
      </c>
      <c r="B15" s="172" t="s">
        <v>380</v>
      </c>
      <c r="C15" s="173">
        <v>241765</v>
      </c>
      <c r="D15" s="173">
        <v>1166932</v>
      </c>
      <c r="E15" s="174" t="s">
        <v>87</v>
      </c>
      <c r="F15" s="175">
        <v>45977</v>
      </c>
      <c r="G15" s="175">
        <v>45976</v>
      </c>
      <c r="H15" s="173" t="s">
        <v>381</v>
      </c>
      <c r="I15" s="173" t="s">
        <v>385</v>
      </c>
      <c r="J15" s="175">
        <v>46129</v>
      </c>
      <c r="K15" s="175">
        <v>46309</v>
      </c>
      <c r="L15" s="175">
        <v>46371</v>
      </c>
      <c r="M15" s="175">
        <v>46145</v>
      </c>
      <c r="N15" s="175" t="s">
        <v>240</v>
      </c>
      <c r="O15" s="179">
        <v>30</v>
      </c>
      <c r="P15" s="205" t="s">
        <v>263</v>
      </c>
      <c r="Q15" s="176">
        <f t="shared" si="10"/>
        <v>169</v>
      </c>
      <c r="R15" s="176" t="s">
        <v>269</v>
      </c>
      <c r="S15" s="177" t="s">
        <v>177</v>
      </c>
      <c r="T15" s="178" t="s">
        <v>42</v>
      </c>
      <c r="U15" s="179" t="s">
        <v>91</v>
      </c>
      <c r="V15" s="175" t="s">
        <v>310</v>
      </c>
      <c r="W15" s="179" t="s">
        <v>311</v>
      </c>
      <c r="X15" s="180">
        <v>480.08</v>
      </c>
      <c r="Y15" s="180">
        <v>480.08</v>
      </c>
      <c r="Z15" s="181">
        <v>39.840000000000003</v>
      </c>
      <c r="AA15" s="180">
        <v>39.840000000000003</v>
      </c>
      <c r="AB15" s="180">
        <v>0</v>
      </c>
      <c r="AC15" s="180">
        <v>0</v>
      </c>
      <c r="AD15" s="180">
        <v>0</v>
      </c>
      <c r="AE15" s="180">
        <v>0</v>
      </c>
      <c r="AF15" s="180">
        <v>0</v>
      </c>
      <c r="AG15" s="180">
        <v>0</v>
      </c>
      <c r="AH15" s="180">
        <v>0</v>
      </c>
      <c r="AI15" s="180">
        <v>0</v>
      </c>
      <c r="AJ15" s="180">
        <v>0</v>
      </c>
      <c r="AK15" s="180">
        <v>0</v>
      </c>
      <c r="AL15" s="180">
        <v>0</v>
      </c>
      <c r="AM15" s="180">
        <v>0</v>
      </c>
      <c r="AN15" s="180">
        <v>0</v>
      </c>
      <c r="AO15" s="180">
        <v>0</v>
      </c>
      <c r="AP15" s="180">
        <v>0</v>
      </c>
      <c r="AQ15" s="180">
        <v>0</v>
      </c>
      <c r="AR15" s="180">
        <v>0</v>
      </c>
      <c r="AS15" s="180">
        <v>0</v>
      </c>
      <c r="AT15" s="180">
        <v>0</v>
      </c>
      <c r="AU15" s="180"/>
      <c r="AV15" s="180">
        <v>0</v>
      </c>
      <c r="AW15" s="180">
        <v>0</v>
      </c>
      <c r="AX15" s="180">
        <v>0</v>
      </c>
      <c r="AY15" s="180">
        <v>0</v>
      </c>
      <c r="AZ15" s="180">
        <v>0</v>
      </c>
      <c r="BA15" s="180">
        <v>0</v>
      </c>
      <c r="BB15" s="180">
        <v>0</v>
      </c>
      <c r="BC15" s="180">
        <v>0</v>
      </c>
      <c r="BD15" s="180">
        <v>0</v>
      </c>
      <c r="BE15" s="180">
        <v>0</v>
      </c>
      <c r="BF15" s="180">
        <v>0</v>
      </c>
      <c r="BG15" s="180">
        <v>0</v>
      </c>
      <c r="BH15" s="180">
        <v>0</v>
      </c>
      <c r="BI15" s="180">
        <v>0</v>
      </c>
      <c r="BJ15" s="180">
        <v>0</v>
      </c>
      <c r="BK15" s="180">
        <v>0</v>
      </c>
      <c r="BL15" s="180">
        <v>0</v>
      </c>
      <c r="BM15" s="180">
        <v>0</v>
      </c>
      <c r="BN15" s="180">
        <f t="shared" si="5"/>
        <v>28511.919999999998</v>
      </c>
      <c r="BO15" s="180">
        <f t="shared" si="11"/>
        <v>28511.919999999998</v>
      </c>
      <c r="BP15" s="226" t="s">
        <v>177</v>
      </c>
      <c r="BQ15" s="172" t="s">
        <v>265</v>
      </c>
      <c r="BR15" s="172" t="s">
        <v>177</v>
      </c>
      <c r="BS15" s="172" t="s">
        <v>250</v>
      </c>
      <c r="BT15" s="172" t="s">
        <v>462</v>
      </c>
      <c r="BU15" s="183" t="s">
        <v>380</v>
      </c>
      <c r="BV15" s="193"/>
      <c r="BW15" s="184">
        <f>BO15</f>
        <v>28511.919999999998</v>
      </c>
      <c r="BX15" s="227">
        <v>46133</v>
      </c>
      <c r="BY15" s="186" t="s">
        <v>250</v>
      </c>
      <c r="BZ15" s="182" t="s">
        <v>177</v>
      </c>
    </row>
    <row r="16" spans="1:78" s="2" customFormat="1" ht="63" customHeight="1" outlineLevel="1" x14ac:dyDescent="0.25">
      <c r="A16" s="202">
        <v>12</v>
      </c>
      <c r="B16" s="172" t="s">
        <v>388</v>
      </c>
      <c r="C16" s="173">
        <v>241765</v>
      </c>
      <c r="D16" s="173">
        <v>1166932</v>
      </c>
      <c r="E16" s="174" t="s">
        <v>87</v>
      </c>
      <c r="F16" s="175">
        <v>45977</v>
      </c>
      <c r="G16" s="175">
        <v>45976</v>
      </c>
      <c r="H16" s="173" t="s">
        <v>381</v>
      </c>
      <c r="I16" s="173" t="s">
        <v>385</v>
      </c>
      <c r="J16" s="175">
        <v>46129</v>
      </c>
      <c r="K16" s="175">
        <v>46309</v>
      </c>
      <c r="L16" s="175">
        <v>46371</v>
      </c>
      <c r="M16" s="175">
        <v>46140</v>
      </c>
      <c r="N16" s="175" t="s">
        <v>240</v>
      </c>
      <c r="O16" s="179">
        <v>30</v>
      </c>
      <c r="P16" s="205" t="s">
        <v>263</v>
      </c>
      <c r="Q16" s="176">
        <f t="shared" si="10"/>
        <v>164</v>
      </c>
      <c r="R16" s="176" t="s">
        <v>269</v>
      </c>
      <c r="S16" s="177" t="s">
        <v>177</v>
      </c>
      <c r="T16" s="178" t="s">
        <v>42</v>
      </c>
      <c r="U16" s="179" t="s">
        <v>91</v>
      </c>
      <c r="V16" s="175" t="s">
        <v>310</v>
      </c>
      <c r="W16" s="179" t="s">
        <v>311</v>
      </c>
      <c r="X16" s="180">
        <v>455.29</v>
      </c>
      <c r="Y16" s="180">
        <v>455.29</v>
      </c>
      <c r="Z16" s="181">
        <v>130.08000000000001</v>
      </c>
      <c r="AA16" s="180">
        <v>130.08000000000001</v>
      </c>
      <c r="AB16" s="180">
        <v>0</v>
      </c>
      <c r="AC16" s="180">
        <v>0</v>
      </c>
      <c r="AD16" s="180">
        <v>438</v>
      </c>
      <c r="AE16" s="180">
        <v>438</v>
      </c>
      <c r="AF16" s="180">
        <v>0</v>
      </c>
      <c r="AG16" s="180">
        <v>0</v>
      </c>
      <c r="AH16" s="180">
        <v>140</v>
      </c>
      <c r="AI16" s="180">
        <v>140</v>
      </c>
      <c r="AJ16" s="180">
        <v>0</v>
      </c>
      <c r="AK16" s="180">
        <v>0</v>
      </c>
      <c r="AL16" s="180">
        <v>0</v>
      </c>
      <c r="AM16" s="180">
        <v>0</v>
      </c>
      <c r="AN16" s="180">
        <v>0</v>
      </c>
      <c r="AO16" s="180">
        <v>0</v>
      </c>
      <c r="AP16" s="180">
        <v>2</v>
      </c>
      <c r="AQ16" s="180">
        <v>2</v>
      </c>
      <c r="AR16" s="180">
        <v>2</v>
      </c>
      <c r="AS16" s="180">
        <v>2</v>
      </c>
      <c r="AT16" s="180">
        <v>0</v>
      </c>
      <c r="AU16" s="180"/>
      <c r="AV16" s="180">
        <v>0</v>
      </c>
      <c r="AW16" s="180">
        <v>0</v>
      </c>
      <c r="AX16" s="180">
        <v>0</v>
      </c>
      <c r="AY16" s="180">
        <v>0</v>
      </c>
      <c r="AZ16" s="180">
        <v>0</v>
      </c>
      <c r="BA16" s="180">
        <v>0</v>
      </c>
      <c r="BB16" s="180">
        <v>0</v>
      </c>
      <c r="BC16" s="180">
        <v>0</v>
      </c>
      <c r="BD16" s="180">
        <v>0</v>
      </c>
      <c r="BE16" s="180">
        <v>0</v>
      </c>
      <c r="BF16" s="180">
        <v>0</v>
      </c>
      <c r="BG16" s="180">
        <v>0</v>
      </c>
      <c r="BH16" s="180">
        <v>0</v>
      </c>
      <c r="BI16" s="180">
        <v>0</v>
      </c>
      <c r="BJ16" s="180">
        <v>0</v>
      </c>
      <c r="BK16" s="180">
        <v>0</v>
      </c>
      <c r="BL16" s="180">
        <v>0</v>
      </c>
      <c r="BM16" s="180">
        <v>0</v>
      </c>
      <c r="BN16" s="180">
        <f t="shared" si="5"/>
        <v>72796.53</v>
      </c>
      <c r="BO16" s="180">
        <f t="shared" si="11"/>
        <v>72796.53</v>
      </c>
      <c r="BP16" s="226" t="s">
        <v>177</v>
      </c>
      <c r="BQ16" s="172" t="s">
        <v>265</v>
      </c>
      <c r="BR16" s="172" t="s">
        <v>177</v>
      </c>
      <c r="BS16" s="172" t="s">
        <v>250</v>
      </c>
      <c r="BT16" s="172" t="s">
        <v>462</v>
      </c>
      <c r="BU16" s="183" t="s">
        <v>388</v>
      </c>
      <c r="BV16" s="193"/>
      <c r="BW16" s="184">
        <f>BO16</f>
        <v>72796.53</v>
      </c>
      <c r="BX16" s="227">
        <v>46139</v>
      </c>
      <c r="BY16" s="186" t="s">
        <v>250</v>
      </c>
      <c r="BZ16" s="182" t="s">
        <v>177</v>
      </c>
    </row>
    <row r="17" spans="1:78" s="2" customFormat="1" ht="63" customHeight="1" outlineLevel="1" x14ac:dyDescent="0.25">
      <c r="A17" s="202">
        <v>13</v>
      </c>
      <c r="B17" s="104" t="s">
        <v>446</v>
      </c>
      <c r="C17" s="106">
        <v>241765</v>
      </c>
      <c r="D17" s="106">
        <v>1166932</v>
      </c>
      <c r="E17" s="107" t="s">
        <v>87</v>
      </c>
      <c r="F17" s="108">
        <v>45977</v>
      </c>
      <c r="G17" s="108">
        <v>45976</v>
      </c>
      <c r="H17" s="106" t="s">
        <v>381</v>
      </c>
      <c r="I17" s="106" t="s">
        <v>385</v>
      </c>
      <c r="J17" s="108">
        <v>46129</v>
      </c>
      <c r="K17" s="108">
        <v>46309</v>
      </c>
      <c r="L17" s="108">
        <v>46371</v>
      </c>
      <c r="M17" s="108">
        <v>46228</v>
      </c>
      <c r="N17" s="108" t="s">
        <v>240</v>
      </c>
      <c r="O17" s="112">
        <v>30</v>
      </c>
      <c r="P17" s="206" t="s">
        <v>263</v>
      </c>
      <c r="Q17" s="109">
        <f t="shared" ref="Q17" si="12">M17-G17</f>
        <v>252</v>
      </c>
      <c r="R17" s="109" t="s">
        <v>269</v>
      </c>
      <c r="S17" s="110" t="s">
        <v>3</v>
      </c>
      <c r="T17" s="111" t="s">
        <v>42</v>
      </c>
      <c r="U17" s="112" t="s">
        <v>91</v>
      </c>
      <c r="V17" s="108" t="s">
        <v>310</v>
      </c>
      <c r="W17" s="112" t="s">
        <v>311</v>
      </c>
      <c r="X17" s="113">
        <v>370</v>
      </c>
      <c r="Y17" s="113">
        <v>370</v>
      </c>
      <c r="Z17" s="114">
        <v>0</v>
      </c>
      <c r="AA17" s="113">
        <v>0</v>
      </c>
      <c r="AB17" s="113">
        <v>0</v>
      </c>
      <c r="AC17" s="113">
        <v>0</v>
      </c>
      <c r="AD17" s="113">
        <v>0</v>
      </c>
      <c r="AE17" s="113">
        <v>0</v>
      </c>
      <c r="AF17" s="113">
        <v>0</v>
      </c>
      <c r="AG17" s="113">
        <v>0</v>
      </c>
      <c r="AH17" s="113">
        <v>0</v>
      </c>
      <c r="AI17" s="113">
        <v>0</v>
      </c>
      <c r="AJ17" s="113">
        <v>288</v>
      </c>
      <c r="AK17" s="113">
        <f>96*3</f>
        <v>288</v>
      </c>
      <c r="AL17" s="113">
        <v>0</v>
      </c>
      <c r="AM17" s="113">
        <v>0</v>
      </c>
      <c r="AN17" s="113">
        <v>0</v>
      </c>
      <c r="AO17" s="113">
        <v>0</v>
      </c>
      <c r="AP17" s="113">
        <v>2</v>
      </c>
      <c r="AQ17" s="113">
        <v>2</v>
      </c>
      <c r="AR17" s="113">
        <v>0</v>
      </c>
      <c r="AS17" s="113">
        <v>0</v>
      </c>
      <c r="AT17" s="113">
        <v>0</v>
      </c>
      <c r="AU17" s="113">
        <v>0</v>
      </c>
      <c r="AV17" s="113">
        <v>0</v>
      </c>
      <c r="AW17" s="113">
        <v>0</v>
      </c>
      <c r="AX17" s="113">
        <v>0</v>
      </c>
      <c r="AY17" s="113">
        <v>0</v>
      </c>
      <c r="AZ17" s="113">
        <v>0</v>
      </c>
      <c r="BA17" s="113">
        <v>0</v>
      </c>
      <c r="BB17" s="113">
        <v>0</v>
      </c>
      <c r="BC17" s="113">
        <v>0</v>
      </c>
      <c r="BD17" s="113">
        <v>0</v>
      </c>
      <c r="BE17" s="113">
        <v>0</v>
      </c>
      <c r="BF17" s="113">
        <v>0</v>
      </c>
      <c r="BG17" s="113">
        <v>0</v>
      </c>
      <c r="BH17" s="113">
        <v>0</v>
      </c>
      <c r="BI17" s="113">
        <v>0</v>
      </c>
      <c r="BJ17" s="113">
        <v>0</v>
      </c>
      <c r="BK17" s="113">
        <v>0</v>
      </c>
      <c r="BL17" s="113">
        <v>0</v>
      </c>
      <c r="BM17" s="113">
        <v>0</v>
      </c>
      <c r="BN17" s="113">
        <f t="shared" ref="BN17" si="13">X17*53+Z17*77+AB17*30+AD17*40+AF17*75+AH17*140+AJ17*640+AL17*480+AN17*450+AP17*680+AR17*85+AT17*575+AV17*2+AX17*1.5+AZ17*1800+BB17*900+BD17*1500+BF17*1500+BH17*1500+BJ17*600+BL17*750</f>
        <v>205290</v>
      </c>
      <c r="BO17" s="113">
        <f t="shared" ref="BO17" si="14">Y17*53+AA17*77+AC17*30+AE17*40+AG17*75+AI17*140+AK17*640+AM17*480+AO17*450+AQ17*680+AS17*85+AU17*575+AW17*2+AY17*1.5+BA17*1800+BC17*900+BE17*1500+BG17*1500+BI17*1500+BK17*600+BM17*750</f>
        <v>205290</v>
      </c>
      <c r="BP17" s="115" t="s">
        <v>3</v>
      </c>
      <c r="BQ17" s="104" t="s">
        <v>42</v>
      </c>
      <c r="BR17" s="104" t="s">
        <v>42</v>
      </c>
      <c r="BS17" s="104" t="s">
        <v>42</v>
      </c>
      <c r="BT17" s="104" t="s">
        <v>42</v>
      </c>
      <c r="BU17" s="116" t="s">
        <v>445</v>
      </c>
      <c r="BV17" s="191"/>
      <c r="BW17" s="117">
        <v>0</v>
      </c>
      <c r="BX17" s="118">
        <v>46226</v>
      </c>
      <c r="BY17" s="152" t="s">
        <v>42</v>
      </c>
      <c r="BZ17" s="115" t="s">
        <v>3</v>
      </c>
    </row>
    <row r="18" spans="1:78" s="2" customFormat="1" ht="63" customHeight="1" outlineLevel="1" x14ac:dyDescent="0.25">
      <c r="A18" s="202">
        <v>14</v>
      </c>
      <c r="B18" s="104" t="s">
        <v>447</v>
      </c>
      <c r="C18" s="106">
        <v>241765</v>
      </c>
      <c r="D18" s="106">
        <v>1166932</v>
      </c>
      <c r="E18" s="107" t="s">
        <v>87</v>
      </c>
      <c r="F18" s="108">
        <v>45977</v>
      </c>
      <c r="G18" s="108">
        <v>45976</v>
      </c>
      <c r="H18" s="106" t="s">
        <v>381</v>
      </c>
      <c r="I18" s="106" t="s">
        <v>385</v>
      </c>
      <c r="J18" s="108">
        <v>46129</v>
      </c>
      <c r="K18" s="108">
        <v>46309</v>
      </c>
      <c r="L18" s="108">
        <v>46371</v>
      </c>
      <c r="M18" s="108">
        <v>46228</v>
      </c>
      <c r="N18" s="108" t="s">
        <v>240</v>
      </c>
      <c r="O18" s="112">
        <v>30</v>
      </c>
      <c r="P18" s="206" t="s">
        <v>263</v>
      </c>
      <c r="Q18" s="109">
        <f t="shared" ref="Q18:Q19" si="15">M18-G18</f>
        <v>252</v>
      </c>
      <c r="R18" s="109" t="s">
        <v>269</v>
      </c>
      <c r="S18" s="110" t="s">
        <v>3</v>
      </c>
      <c r="T18" s="111" t="s">
        <v>42</v>
      </c>
      <c r="U18" s="112" t="s">
        <v>91</v>
      </c>
      <c r="V18" s="108" t="s">
        <v>310</v>
      </c>
      <c r="W18" s="112" t="s">
        <v>311</v>
      </c>
      <c r="X18" s="113">
        <v>291</v>
      </c>
      <c r="Y18" s="113">
        <v>291</v>
      </c>
      <c r="Z18" s="114">
        <v>0</v>
      </c>
      <c r="AA18" s="113">
        <v>0</v>
      </c>
      <c r="AB18" s="113">
        <v>0</v>
      </c>
      <c r="AC18" s="113">
        <v>0</v>
      </c>
      <c r="AD18" s="113">
        <f>89+24</f>
        <v>113</v>
      </c>
      <c r="AE18" s="113">
        <v>113</v>
      </c>
      <c r="AF18" s="113">
        <v>0</v>
      </c>
      <c r="AG18" s="113">
        <v>0</v>
      </c>
      <c r="AH18" s="113">
        <v>0</v>
      </c>
      <c r="AI18" s="113">
        <v>0</v>
      </c>
      <c r="AJ18" s="113">
        <v>0</v>
      </c>
      <c r="AK18" s="113">
        <v>0</v>
      </c>
      <c r="AL18" s="113">
        <v>0</v>
      </c>
      <c r="AM18" s="113">
        <v>0</v>
      </c>
      <c r="AN18" s="113">
        <v>0</v>
      </c>
      <c r="AO18" s="113">
        <v>0</v>
      </c>
      <c r="AP18" s="113">
        <v>0</v>
      </c>
      <c r="AQ18" s="113">
        <v>0</v>
      </c>
      <c r="AR18" s="113">
        <v>0</v>
      </c>
      <c r="AS18" s="113">
        <v>0</v>
      </c>
      <c r="AT18" s="113">
        <v>0</v>
      </c>
      <c r="AU18" s="113">
        <v>0</v>
      </c>
      <c r="AV18" s="113">
        <v>570</v>
      </c>
      <c r="AW18" s="113">
        <v>570</v>
      </c>
      <c r="AX18" s="113">
        <v>0</v>
      </c>
      <c r="AY18" s="113">
        <v>0</v>
      </c>
      <c r="AZ18" s="113">
        <v>0</v>
      </c>
      <c r="BA18" s="113">
        <v>0</v>
      </c>
      <c r="BB18" s="113">
        <v>0</v>
      </c>
      <c r="BC18" s="113">
        <v>0</v>
      </c>
      <c r="BD18" s="113">
        <v>0</v>
      </c>
      <c r="BE18" s="113">
        <v>0</v>
      </c>
      <c r="BF18" s="113">
        <v>0</v>
      </c>
      <c r="BG18" s="113">
        <v>0</v>
      </c>
      <c r="BH18" s="113">
        <v>0</v>
      </c>
      <c r="BI18" s="113">
        <v>0</v>
      </c>
      <c r="BJ18" s="113">
        <v>0</v>
      </c>
      <c r="BK18" s="113">
        <v>0</v>
      </c>
      <c r="BL18" s="113">
        <v>0</v>
      </c>
      <c r="BM18" s="113">
        <v>0</v>
      </c>
      <c r="BN18" s="113">
        <f t="shared" ref="BN18:BN19" si="16">X18*53+Z18*77+AB18*30+AD18*40+AF18*75+AH18*140+AJ18*640+AL18*480+AN18*450+AP18*680+AR18*85+AT18*575+AV18*2+AX18*1.5+AZ18*1800+BB18*900+BD18*1500+BF18*1500+BH18*1500+BJ18*600+BL18*750</f>
        <v>21083</v>
      </c>
      <c r="BO18" s="113">
        <f t="shared" ref="BO18:BO19" si="17">Y18*53+AA18*77+AC18*30+AE18*40+AG18*75+AI18*140+AK18*640+AM18*480+AO18*450+AQ18*680+AS18*85+AU18*575+AW18*2+AY18*1.5+BA18*1800+BC18*900+BE18*1500+BG18*1500+BI18*1500+BK18*600+BM18*750</f>
        <v>21083</v>
      </c>
      <c r="BP18" s="110" t="s">
        <v>3</v>
      </c>
      <c r="BQ18" s="104" t="s">
        <v>42</v>
      </c>
      <c r="BR18" s="104" t="s">
        <v>42</v>
      </c>
      <c r="BS18" s="104" t="s">
        <v>42</v>
      </c>
      <c r="BT18" s="104" t="s">
        <v>42</v>
      </c>
      <c r="BU18" s="116" t="s">
        <v>447</v>
      </c>
      <c r="BV18" s="191"/>
      <c r="BW18" s="117">
        <v>0</v>
      </c>
      <c r="BX18" s="118">
        <v>46223</v>
      </c>
      <c r="BY18" s="152" t="s">
        <v>42</v>
      </c>
      <c r="BZ18" s="115" t="s">
        <v>3</v>
      </c>
    </row>
    <row r="19" spans="1:78" s="2" customFormat="1" ht="63" customHeight="1" outlineLevel="1" x14ac:dyDescent="0.25">
      <c r="A19" s="34">
        <v>15</v>
      </c>
      <c r="B19" s="200" t="s">
        <v>466</v>
      </c>
      <c r="C19" s="121">
        <v>241765</v>
      </c>
      <c r="D19" s="121">
        <v>1166932</v>
      </c>
      <c r="E19" s="122" t="s">
        <v>87</v>
      </c>
      <c r="F19" s="123">
        <v>45977</v>
      </c>
      <c r="G19" s="123">
        <v>45976</v>
      </c>
      <c r="H19" s="121" t="s">
        <v>467</v>
      </c>
      <c r="I19" s="121" t="s">
        <v>385</v>
      </c>
      <c r="J19" s="123">
        <v>46129</v>
      </c>
      <c r="K19" s="123">
        <v>46309</v>
      </c>
      <c r="L19" s="123">
        <v>46371</v>
      </c>
      <c r="M19" s="123">
        <f t="shared" ref="M19" ca="1" si="18">TODAY()</f>
        <v>46277</v>
      </c>
      <c r="N19" s="123" t="s">
        <v>157</v>
      </c>
      <c r="O19" s="210" t="s">
        <v>331</v>
      </c>
      <c r="P19" s="204" t="s">
        <v>263</v>
      </c>
      <c r="Q19" s="124">
        <f t="shared" ca="1" si="15"/>
        <v>301</v>
      </c>
      <c r="R19" s="124" t="s">
        <v>269</v>
      </c>
      <c r="S19" s="125" t="s">
        <v>157</v>
      </c>
      <c r="T19" s="126" t="s">
        <v>261</v>
      </c>
      <c r="U19" s="127" t="s">
        <v>91</v>
      </c>
      <c r="V19" s="120" t="s">
        <v>310</v>
      </c>
      <c r="W19" s="214" t="s">
        <v>311</v>
      </c>
      <c r="X19" s="128">
        <v>343</v>
      </c>
      <c r="Y19" s="128">
        <v>343</v>
      </c>
      <c r="Z19" s="129">
        <f>9*12</f>
        <v>108</v>
      </c>
      <c r="AA19" s="128">
        <f>9*12</f>
        <v>108</v>
      </c>
      <c r="AB19" s="128">
        <v>0</v>
      </c>
      <c r="AC19" s="128">
        <v>0</v>
      </c>
      <c r="AD19" s="128">
        <v>151</v>
      </c>
      <c r="AE19" s="128">
        <v>151</v>
      </c>
      <c r="AF19" s="128">
        <v>0</v>
      </c>
      <c r="AG19" s="128">
        <v>0</v>
      </c>
      <c r="AH19" s="128">
        <f>9*5</f>
        <v>45</v>
      </c>
      <c r="AI19" s="128">
        <f>9*5</f>
        <v>45</v>
      </c>
      <c r="AJ19" s="128">
        <f>102*4</f>
        <v>408</v>
      </c>
      <c r="AK19" s="128">
        <f>102*4</f>
        <v>408</v>
      </c>
      <c r="AL19" s="128">
        <v>0</v>
      </c>
      <c r="AM19" s="128">
        <v>0</v>
      </c>
      <c r="AN19" s="128">
        <v>0</v>
      </c>
      <c r="AO19" s="128">
        <v>0</v>
      </c>
      <c r="AP19" s="128">
        <v>2</v>
      </c>
      <c r="AQ19" s="128">
        <v>2</v>
      </c>
      <c r="AR19" s="128">
        <v>1</v>
      </c>
      <c r="AS19" s="128">
        <v>1</v>
      </c>
      <c r="AT19" s="128">
        <v>0</v>
      </c>
      <c r="AU19" s="128">
        <v>0</v>
      </c>
      <c r="AV19" s="128">
        <v>480</v>
      </c>
      <c r="AW19" s="128">
        <v>480</v>
      </c>
      <c r="AX19" s="128">
        <v>0</v>
      </c>
      <c r="AY19" s="128">
        <v>0</v>
      </c>
      <c r="AZ19" s="128">
        <v>0</v>
      </c>
      <c r="BA19" s="128">
        <v>0</v>
      </c>
      <c r="BB19" s="128">
        <v>0</v>
      </c>
      <c r="BC19" s="128">
        <v>0</v>
      </c>
      <c r="BD19" s="128">
        <v>0</v>
      </c>
      <c r="BE19" s="128">
        <v>0</v>
      </c>
      <c r="BF19" s="128">
        <v>0</v>
      </c>
      <c r="BG19" s="128">
        <v>0</v>
      </c>
      <c r="BH19" s="128">
        <v>0</v>
      </c>
      <c r="BI19" s="128">
        <v>0</v>
      </c>
      <c r="BJ19" s="128">
        <v>0</v>
      </c>
      <c r="BK19" s="128">
        <v>0</v>
      </c>
      <c r="BL19" s="128">
        <v>0</v>
      </c>
      <c r="BM19" s="128">
        <v>0</v>
      </c>
      <c r="BN19" s="128">
        <f t="shared" si="16"/>
        <v>302360</v>
      </c>
      <c r="BO19" s="128">
        <f t="shared" si="17"/>
        <v>302360</v>
      </c>
      <c r="BP19" s="133" t="s">
        <v>3</v>
      </c>
      <c r="BQ19" s="120" t="s">
        <v>42</v>
      </c>
      <c r="BR19" s="120" t="s">
        <v>42</v>
      </c>
      <c r="BS19" s="120" t="s">
        <v>42</v>
      </c>
      <c r="BT19" s="120" t="s">
        <v>42</v>
      </c>
      <c r="BU19" s="130" t="s">
        <v>466</v>
      </c>
      <c r="BV19" s="190"/>
      <c r="BW19" s="131">
        <v>0</v>
      </c>
      <c r="BX19" s="217">
        <v>46260</v>
      </c>
      <c r="BY19" s="151" t="s">
        <v>42</v>
      </c>
      <c r="BZ19" s="133" t="s">
        <v>246</v>
      </c>
    </row>
    <row r="20" spans="1:78" s="2" customFormat="1" ht="63" customHeight="1" outlineLevel="1" x14ac:dyDescent="0.25">
      <c r="A20" s="202">
        <v>16</v>
      </c>
      <c r="B20" s="104">
        <v>3</v>
      </c>
      <c r="C20" s="106">
        <v>241767</v>
      </c>
      <c r="D20" s="106">
        <v>116691</v>
      </c>
      <c r="E20" s="107" t="s">
        <v>90</v>
      </c>
      <c r="F20" s="108">
        <v>45977</v>
      </c>
      <c r="G20" s="108">
        <f t="shared" si="0"/>
        <v>45976</v>
      </c>
      <c r="H20" s="106" t="s">
        <v>42</v>
      </c>
      <c r="I20" s="106" t="s">
        <v>42</v>
      </c>
      <c r="J20" s="108" t="s">
        <v>42</v>
      </c>
      <c r="K20" s="108" t="s">
        <v>42</v>
      </c>
      <c r="L20" s="108">
        <v>46157</v>
      </c>
      <c r="M20" s="108">
        <v>46144</v>
      </c>
      <c r="N20" s="108" t="s">
        <v>240</v>
      </c>
      <c r="O20" s="112">
        <f t="shared" si="1"/>
        <v>30</v>
      </c>
      <c r="P20" s="206" t="s">
        <v>280</v>
      </c>
      <c r="Q20" s="109">
        <f t="shared" ref="Q20:Q27" si="19">M20-G20</f>
        <v>168</v>
      </c>
      <c r="R20" s="109" t="s">
        <v>269</v>
      </c>
      <c r="S20" s="110" t="s">
        <v>3</v>
      </c>
      <c r="T20" s="111" t="s">
        <v>42</v>
      </c>
      <c r="U20" s="112" t="s">
        <v>92</v>
      </c>
      <c r="V20" s="108" t="s">
        <v>283</v>
      </c>
      <c r="W20" s="112" t="s">
        <v>315</v>
      </c>
      <c r="X20" s="113"/>
      <c r="Y20" s="113"/>
      <c r="Z20" s="114">
        <v>0</v>
      </c>
      <c r="AA20" s="113">
        <v>0</v>
      </c>
      <c r="AB20" s="113">
        <v>0</v>
      </c>
      <c r="AC20" s="113">
        <v>0</v>
      </c>
      <c r="AD20" s="113">
        <v>0</v>
      </c>
      <c r="AE20" s="113">
        <v>0</v>
      </c>
      <c r="AF20" s="113">
        <v>0</v>
      </c>
      <c r="AG20" s="113">
        <v>0</v>
      </c>
      <c r="AH20" s="113">
        <v>0</v>
      </c>
      <c r="AI20" s="113">
        <v>0</v>
      </c>
      <c r="AJ20" s="113">
        <v>0</v>
      </c>
      <c r="AK20" s="113">
        <v>0</v>
      </c>
      <c r="AL20" s="113">
        <v>0</v>
      </c>
      <c r="AM20" s="113">
        <v>0</v>
      </c>
      <c r="AN20" s="113">
        <v>0</v>
      </c>
      <c r="AO20" s="113">
        <v>0</v>
      </c>
      <c r="AP20" s="113">
        <v>0</v>
      </c>
      <c r="AQ20" s="113">
        <v>0</v>
      </c>
      <c r="AR20" s="113">
        <v>0</v>
      </c>
      <c r="AS20" s="113">
        <v>0</v>
      </c>
      <c r="AT20" s="113">
        <v>0</v>
      </c>
      <c r="AU20" s="113">
        <v>0</v>
      </c>
      <c r="AV20" s="113">
        <v>0</v>
      </c>
      <c r="AW20" s="113"/>
      <c r="AX20" s="113">
        <v>80</v>
      </c>
      <c r="AY20" s="113">
        <v>80</v>
      </c>
      <c r="AZ20" s="113">
        <v>0</v>
      </c>
      <c r="BA20" s="113"/>
      <c r="BB20" s="113"/>
      <c r="BC20" s="113"/>
      <c r="BD20" s="113">
        <v>2</v>
      </c>
      <c r="BE20" s="113">
        <v>2</v>
      </c>
      <c r="BF20" s="113">
        <v>0</v>
      </c>
      <c r="BG20" s="113"/>
      <c r="BH20" s="113">
        <v>0</v>
      </c>
      <c r="BI20" s="113"/>
      <c r="BJ20" s="113">
        <v>2</v>
      </c>
      <c r="BK20" s="113">
        <v>2</v>
      </c>
      <c r="BL20" s="113">
        <v>2</v>
      </c>
      <c r="BM20" s="113">
        <v>2</v>
      </c>
      <c r="BN20" s="113">
        <f t="shared" si="5"/>
        <v>5820</v>
      </c>
      <c r="BO20" s="113">
        <f t="shared" si="2"/>
        <v>5820</v>
      </c>
      <c r="BP20" s="119" t="s">
        <v>3</v>
      </c>
      <c r="BQ20" s="104" t="s">
        <v>42</v>
      </c>
      <c r="BR20" s="104" t="s">
        <v>42</v>
      </c>
      <c r="BS20" s="104" t="s">
        <v>265</v>
      </c>
      <c r="BT20" s="104" t="s">
        <v>42</v>
      </c>
      <c r="BU20" s="116">
        <v>3</v>
      </c>
      <c r="BV20" s="191" t="s">
        <v>378</v>
      </c>
      <c r="BW20" s="117">
        <v>0</v>
      </c>
      <c r="BX20" s="134">
        <v>46079</v>
      </c>
      <c r="BY20" s="152" t="s">
        <v>42</v>
      </c>
      <c r="BZ20" s="115" t="s">
        <v>3</v>
      </c>
    </row>
    <row r="21" spans="1:78" s="2" customFormat="1" ht="63" customHeight="1" outlineLevel="1" x14ac:dyDescent="0.25">
      <c r="A21" s="202">
        <v>17</v>
      </c>
      <c r="B21" s="172" t="s">
        <v>433</v>
      </c>
      <c r="C21" s="173">
        <v>241768</v>
      </c>
      <c r="D21" s="173">
        <v>1166997</v>
      </c>
      <c r="E21" s="174" t="s">
        <v>93</v>
      </c>
      <c r="F21" s="175">
        <v>45977</v>
      </c>
      <c r="G21" s="175">
        <f t="shared" si="0"/>
        <v>45976</v>
      </c>
      <c r="H21" s="173">
        <v>828238</v>
      </c>
      <c r="I21" s="173" t="s">
        <v>385</v>
      </c>
      <c r="J21" s="175">
        <v>46179</v>
      </c>
      <c r="K21" s="175">
        <v>46359</v>
      </c>
      <c r="L21" s="175">
        <v>46157</v>
      </c>
      <c r="M21" s="175">
        <v>46032</v>
      </c>
      <c r="N21" s="175" t="s">
        <v>240</v>
      </c>
      <c r="O21" s="179">
        <f t="shared" si="1"/>
        <v>30</v>
      </c>
      <c r="P21" s="205" t="s">
        <v>259</v>
      </c>
      <c r="Q21" s="176">
        <f t="shared" si="19"/>
        <v>56</v>
      </c>
      <c r="R21" s="176" t="s">
        <v>269</v>
      </c>
      <c r="S21" s="177" t="s">
        <v>177</v>
      </c>
      <c r="T21" s="178" t="s">
        <v>265</v>
      </c>
      <c r="U21" s="179" t="s">
        <v>435</v>
      </c>
      <c r="V21" s="175" t="s">
        <v>342</v>
      </c>
      <c r="W21" s="179" t="s">
        <v>315</v>
      </c>
      <c r="X21" s="180">
        <v>0</v>
      </c>
      <c r="Y21" s="180">
        <v>0</v>
      </c>
      <c r="Z21" s="181">
        <f>33.56+34.08+227.76</f>
        <v>295.39999999999998</v>
      </c>
      <c r="AA21" s="180">
        <f>33.56+34.08+227.76</f>
        <v>295.39999999999998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80">
        <f>(8.5+8.5+8+8)*5</f>
        <v>165</v>
      </c>
      <c r="AI21" s="180">
        <v>165</v>
      </c>
      <c r="AJ21" s="180">
        <v>0</v>
      </c>
      <c r="AK21" s="180">
        <v>0</v>
      </c>
      <c r="AL21" s="180">
        <v>0</v>
      </c>
      <c r="AM21" s="180">
        <v>0</v>
      </c>
      <c r="AN21" s="180">
        <v>0</v>
      </c>
      <c r="AO21" s="180">
        <v>0</v>
      </c>
      <c r="AP21" s="180">
        <v>0</v>
      </c>
      <c r="AQ21" s="180">
        <v>0</v>
      </c>
      <c r="AR21" s="180">
        <v>0</v>
      </c>
      <c r="AS21" s="180">
        <v>0</v>
      </c>
      <c r="AT21" s="180">
        <v>0</v>
      </c>
      <c r="AU21" s="180">
        <v>0</v>
      </c>
      <c r="AV21" s="180">
        <v>0</v>
      </c>
      <c r="AW21" s="180">
        <v>0</v>
      </c>
      <c r="AX21" s="180">
        <v>0</v>
      </c>
      <c r="AY21" s="180">
        <v>0</v>
      </c>
      <c r="AZ21" s="180">
        <v>0</v>
      </c>
      <c r="BA21" s="180">
        <v>0</v>
      </c>
      <c r="BB21" s="180">
        <v>0</v>
      </c>
      <c r="BC21" s="180">
        <v>0</v>
      </c>
      <c r="BD21" s="180">
        <v>0</v>
      </c>
      <c r="BE21" s="180">
        <v>0</v>
      </c>
      <c r="BF21" s="180">
        <v>0</v>
      </c>
      <c r="BG21" s="180">
        <v>0</v>
      </c>
      <c r="BH21" s="180">
        <v>0</v>
      </c>
      <c r="BI21" s="180">
        <v>0</v>
      </c>
      <c r="BJ21" s="180">
        <v>0</v>
      </c>
      <c r="BK21" s="180">
        <v>0</v>
      </c>
      <c r="BL21" s="180">
        <v>0</v>
      </c>
      <c r="BM21" s="180">
        <v>0</v>
      </c>
      <c r="BN21" s="180">
        <f t="shared" si="2"/>
        <v>45845.8</v>
      </c>
      <c r="BO21" s="180">
        <f t="shared" si="2"/>
        <v>45845.8</v>
      </c>
      <c r="BP21" s="226" t="s">
        <v>177</v>
      </c>
      <c r="BQ21" s="172" t="s">
        <v>265</v>
      </c>
      <c r="BR21" s="172" t="s">
        <v>177</v>
      </c>
      <c r="BS21" s="172" t="s">
        <v>250</v>
      </c>
      <c r="BT21" s="172" t="s">
        <v>438</v>
      </c>
      <c r="BU21" s="183" t="s">
        <v>439</v>
      </c>
      <c r="BV21" s="193" t="s">
        <v>377</v>
      </c>
      <c r="BW21" s="184">
        <f>BO21</f>
        <v>45845.8</v>
      </c>
      <c r="BX21" s="227">
        <v>46006</v>
      </c>
      <c r="BY21" s="186" t="s">
        <v>250</v>
      </c>
      <c r="BZ21" s="182" t="s">
        <v>177</v>
      </c>
    </row>
    <row r="22" spans="1:78" s="2" customFormat="1" ht="63" customHeight="1" outlineLevel="1" x14ac:dyDescent="0.25">
      <c r="A22" s="202">
        <v>18</v>
      </c>
      <c r="B22" s="105" t="s">
        <v>149</v>
      </c>
      <c r="C22" s="106">
        <v>241768</v>
      </c>
      <c r="D22" s="106">
        <v>1166997</v>
      </c>
      <c r="E22" s="107" t="s">
        <v>93</v>
      </c>
      <c r="F22" s="108">
        <v>45977</v>
      </c>
      <c r="G22" s="108">
        <f t="shared" ref="G22" si="20">F22-1</f>
        <v>45976</v>
      </c>
      <c r="H22" s="106">
        <v>828238</v>
      </c>
      <c r="I22" s="106" t="s">
        <v>385</v>
      </c>
      <c r="J22" s="108">
        <v>46179</v>
      </c>
      <c r="K22" s="108">
        <v>46359</v>
      </c>
      <c r="L22" s="108">
        <v>46157</v>
      </c>
      <c r="M22" s="108">
        <v>46204</v>
      </c>
      <c r="N22" s="108" t="s">
        <v>240</v>
      </c>
      <c r="O22" s="112">
        <f t="shared" ref="O22" si="21">IF(N22="Backfilling",30,IF(N22="Reinstatement",20,IF(N22="Shut Down",30,IF(N22="Returned",0,""))))</f>
        <v>30</v>
      </c>
      <c r="P22" s="206" t="s">
        <v>259</v>
      </c>
      <c r="Q22" s="109">
        <f t="shared" si="19"/>
        <v>228</v>
      </c>
      <c r="R22" s="109" t="s">
        <v>269</v>
      </c>
      <c r="S22" s="110" t="s">
        <v>3</v>
      </c>
      <c r="T22" s="111" t="s">
        <v>265</v>
      </c>
      <c r="U22" s="112" t="s">
        <v>435</v>
      </c>
      <c r="V22" s="104" t="s">
        <v>342</v>
      </c>
      <c r="W22" s="163" t="s">
        <v>315</v>
      </c>
      <c r="X22" s="113">
        <v>10</v>
      </c>
      <c r="Y22" s="113">
        <v>10</v>
      </c>
      <c r="Z22" s="114">
        <v>0</v>
      </c>
      <c r="AA22" s="114">
        <v>0</v>
      </c>
      <c r="AB22" s="113">
        <v>0</v>
      </c>
      <c r="AC22" s="113">
        <v>0</v>
      </c>
      <c r="AD22" s="113">
        <v>0</v>
      </c>
      <c r="AE22" s="113">
        <v>0</v>
      </c>
      <c r="AF22" s="113">
        <v>0</v>
      </c>
      <c r="AG22" s="113">
        <v>0</v>
      </c>
      <c r="AH22" s="113">
        <v>0</v>
      </c>
      <c r="AI22" s="113">
        <v>0</v>
      </c>
      <c r="AJ22" s="113">
        <v>0</v>
      </c>
      <c r="AK22" s="113">
        <v>0</v>
      </c>
      <c r="AL22" s="113">
        <v>1</v>
      </c>
      <c r="AM22" s="113">
        <v>1</v>
      </c>
      <c r="AN22" s="113">
        <v>1</v>
      </c>
      <c r="AO22" s="113">
        <v>1</v>
      </c>
      <c r="AP22" s="113">
        <v>1</v>
      </c>
      <c r="AQ22" s="113">
        <v>1</v>
      </c>
      <c r="AR22" s="113">
        <v>1</v>
      </c>
      <c r="AS22" s="113">
        <v>1</v>
      </c>
      <c r="AT22" s="113">
        <v>1</v>
      </c>
      <c r="AU22" s="113">
        <v>1</v>
      </c>
      <c r="AV22" s="113">
        <v>0</v>
      </c>
      <c r="AW22" s="113">
        <v>0</v>
      </c>
      <c r="AX22" s="113">
        <v>0</v>
      </c>
      <c r="AY22" s="113">
        <v>0</v>
      </c>
      <c r="AZ22" s="113">
        <v>0</v>
      </c>
      <c r="BA22" s="113">
        <v>0</v>
      </c>
      <c r="BB22" s="113">
        <v>0</v>
      </c>
      <c r="BC22" s="113">
        <v>0</v>
      </c>
      <c r="BD22" s="113">
        <v>0</v>
      </c>
      <c r="BE22" s="113">
        <v>0</v>
      </c>
      <c r="BF22" s="113">
        <v>0</v>
      </c>
      <c r="BG22" s="113">
        <v>0</v>
      </c>
      <c r="BH22" s="113">
        <v>0</v>
      </c>
      <c r="BI22" s="113">
        <v>0</v>
      </c>
      <c r="BJ22" s="113">
        <v>0</v>
      </c>
      <c r="BK22" s="113">
        <v>0</v>
      </c>
      <c r="BL22" s="113">
        <v>0</v>
      </c>
      <c r="BM22" s="113">
        <v>0</v>
      </c>
      <c r="BN22" s="113">
        <f t="shared" ref="BN22" si="22">X22*53+Z22*77+AB22*30+AD22*40+AF22*75+AH22*140+AJ22*640+AL22*480+AN22*450+AP22*680+AR22*85+AT22*575+AV22*2+AX22*1.5+AZ22*1800+BB22*900+BD22*1500+BF22*1500+BH22*1500+BJ22*600+BL22*750</f>
        <v>2800</v>
      </c>
      <c r="BO22" s="113">
        <f t="shared" ref="BO22" si="23">Y22*53+AA22*77+AC22*30+AE22*40+AG22*75+AI22*140+AK22*640+AM22*480+AO22*450+AQ22*680+AS22*85+AU22*575+AW22*2+AY22*1.5+BA22*1800+BC22*900+BE22*1500+BG22*1500+BI22*1500+BK22*600+BM22*750</f>
        <v>2800</v>
      </c>
      <c r="BP22" s="115" t="s">
        <v>3</v>
      </c>
      <c r="BQ22" s="104" t="s">
        <v>42</v>
      </c>
      <c r="BR22" s="104" t="s">
        <v>42</v>
      </c>
      <c r="BS22" s="104" t="s">
        <v>42</v>
      </c>
      <c r="BT22" s="104" t="s">
        <v>42</v>
      </c>
      <c r="BU22" s="116" t="s">
        <v>429</v>
      </c>
      <c r="BV22" s="191"/>
      <c r="BW22" s="117">
        <v>0</v>
      </c>
      <c r="BX22" s="134">
        <v>46201</v>
      </c>
      <c r="BY22" s="152" t="s">
        <v>42</v>
      </c>
      <c r="BZ22" s="115" t="s">
        <v>3</v>
      </c>
    </row>
    <row r="23" spans="1:78" s="2" customFormat="1" ht="63" customHeight="1" outlineLevel="1" x14ac:dyDescent="0.25">
      <c r="A23" s="202">
        <v>19</v>
      </c>
      <c r="B23" s="104" t="s">
        <v>426</v>
      </c>
      <c r="C23" s="106">
        <v>241768</v>
      </c>
      <c r="D23" s="106">
        <v>1166997</v>
      </c>
      <c r="E23" s="107" t="s">
        <v>93</v>
      </c>
      <c r="F23" s="108">
        <v>45977</v>
      </c>
      <c r="G23" s="108">
        <f t="shared" ref="G23:G24" si="24">F23-1</f>
        <v>45976</v>
      </c>
      <c r="H23" s="106">
        <v>828238</v>
      </c>
      <c r="I23" s="106" t="s">
        <v>385</v>
      </c>
      <c r="J23" s="108">
        <v>46179</v>
      </c>
      <c r="K23" s="108">
        <v>46359</v>
      </c>
      <c r="L23" s="108">
        <v>46157</v>
      </c>
      <c r="M23" s="108">
        <v>46204</v>
      </c>
      <c r="N23" s="108" t="s">
        <v>240</v>
      </c>
      <c r="O23" s="112">
        <f t="shared" ref="O23:O24" si="25">IF(N23="Backfilling",30,IF(N23="Reinstatement",20,IF(N23="Shut Down",30,IF(N23="Returned",0,""))))</f>
        <v>30</v>
      </c>
      <c r="P23" s="206" t="s">
        <v>259</v>
      </c>
      <c r="Q23" s="109">
        <f t="shared" ref="Q23:Q24" si="26">M23-G23</f>
        <v>228</v>
      </c>
      <c r="R23" s="109" t="s">
        <v>269</v>
      </c>
      <c r="S23" s="110" t="s">
        <v>3</v>
      </c>
      <c r="T23" s="111" t="s">
        <v>265</v>
      </c>
      <c r="U23" s="112" t="s">
        <v>435</v>
      </c>
      <c r="V23" s="108" t="s">
        <v>342</v>
      </c>
      <c r="W23" s="112" t="s">
        <v>315</v>
      </c>
      <c r="X23" s="113">
        <f>136+35</f>
        <v>171</v>
      </c>
      <c r="Y23" s="113">
        <f>136+35</f>
        <v>171</v>
      </c>
      <c r="Z23" s="114">
        <v>0</v>
      </c>
      <c r="AA23" s="113">
        <v>0</v>
      </c>
      <c r="AB23" s="113">
        <v>0</v>
      </c>
      <c r="AC23" s="113">
        <v>0</v>
      </c>
      <c r="AD23" s="113">
        <v>35</v>
      </c>
      <c r="AE23" s="113">
        <v>35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  <c r="AM23" s="113">
        <v>0</v>
      </c>
      <c r="AN23" s="113">
        <v>0</v>
      </c>
      <c r="AO23" s="113">
        <v>0</v>
      </c>
      <c r="AP23" s="113">
        <v>0</v>
      </c>
      <c r="AQ23" s="113">
        <v>0</v>
      </c>
      <c r="AR23" s="113">
        <v>0</v>
      </c>
      <c r="AS23" s="113">
        <v>0</v>
      </c>
      <c r="AT23" s="113">
        <v>0</v>
      </c>
      <c r="AU23" s="113">
        <v>0</v>
      </c>
      <c r="AV23" s="113">
        <v>0</v>
      </c>
      <c r="AW23" s="113">
        <v>0</v>
      </c>
      <c r="AX23" s="113">
        <v>0</v>
      </c>
      <c r="AY23" s="113">
        <v>0</v>
      </c>
      <c r="AZ23" s="113">
        <v>0</v>
      </c>
      <c r="BA23" s="113">
        <v>0</v>
      </c>
      <c r="BB23" s="113">
        <v>0</v>
      </c>
      <c r="BC23" s="113">
        <v>0</v>
      </c>
      <c r="BD23" s="113">
        <v>0</v>
      </c>
      <c r="BE23" s="113">
        <v>0</v>
      </c>
      <c r="BF23" s="113">
        <v>0</v>
      </c>
      <c r="BG23" s="113">
        <v>0</v>
      </c>
      <c r="BH23" s="113">
        <v>0</v>
      </c>
      <c r="BI23" s="113">
        <v>0</v>
      </c>
      <c r="BJ23" s="113">
        <v>0</v>
      </c>
      <c r="BK23" s="113">
        <v>0</v>
      </c>
      <c r="BL23" s="113">
        <v>0</v>
      </c>
      <c r="BM23" s="113">
        <v>0</v>
      </c>
      <c r="BN23" s="113">
        <f t="shared" ref="BN23:BN25" si="27">X23*53+Z23*77+AB23*30+AD23*40+AF23*75+AH23*140+AJ23*640+AL23*480+AN23*450+AP23*680+AR23*85+AT23*575+AV23*2+AX23*1.5+AZ23*1800+BB23*900+BD23*1500+BF23*1500+BH23*1500+BJ23*600+BL23*750</f>
        <v>10463</v>
      </c>
      <c r="BO23" s="113">
        <f t="shared" ref="BO23:BO25" si="28">Y23*53+AA23*77+AC23*30+AE23*40+AG23*75+AI23*140+AK23*640+AM23*480+AO23*450+AQ23*680+AS23*85+AU23*575+AW23*2+AY23*1.5+BA23*1800+BC23*900+BE23*1500+BG23*1500+BI23*1500+BK23*600+BM23*750</f>
        <v>10463</v>
      </c>
      <c r="BP23" s="115" t="s">
        <v>3</v>
      </c>
      <c r="BQ23" s="104" t="s">
        <v>42</v>
      </c>
      <c r="BR23" s="104" t="s">
        <v>42</v>
      </c>
      <c r="BS23" s="104" t="s">
        <v>157</v>
      </c>
      <c r="BT23" s="104" t="s">
        <v>42</v>
      </c>
      <c r="BU23" s="116" t="s">
        <v>429</v>
      </c>
      <c r="BV23" s="191"/>
      <c r="BW23" s="117">
        <v>0</v>
      </c>
      <c r="BX23" s="118">
        <v>46210</v>
      </c>
      <c r="BY23" s="152" t="s">
        <v>42</v>
      </c>
      <c r="BZ23" s="115" t="s">
        <v>3</v>
      </c>
    </row>
    <row r="24" spans="1:78" s="2" customFormat="1" ht="63" customHeight="1" outlineLevel="1" x14ac:dyDescent="0.25">
      <c r="A24" s="202">
        <v>20</v>
      </c>
      <c r="B24" s="104" t="s">
        <v>434</v>
      </c>
      <c r="C24" s="106">
        <v>241768</v>
      </c>
      <c r="D24" s="106">
        <v>1166997</v>
      </c>
      <c r="E24" s="107" t="s">
        <v>93</v>
      </c>
      <c r="F24" s="108">
        <v>45977</v>
      </c>
      <c r="G24" s="108">
        <f t="shared" si="24"/>
        <v>45976</v>
      </c>
      <c r="H24" s="106">
        <v>828238</v>
      </c>
      <c r="I24" s="106" t="s">
        <v>385</v>
      </c>
      <c r="J24" s="108">
        <v>46179</v>
      </c>
      <c r="K24" s="108">
        <v>46359</v>
      </c>
      <c r="L24" s="108">
        <v>46157</v>
      </c>
      <c r="M24" s="108">
        <v>46204</v>
      </c>
      <c r="N24" s="108" t="s">
        <v>240</v>
      </c>
      <c r="O24" s="112">
        <f t="shared" si="25"/>
        <v>30</v>
      </c>
      <c r="P24" s="206" t="s">
        <v>259</v>
      </c>
      <c r="Q24" s="109">
        <f t="shared" si="26"/>
        <v>228</v>
      </c>
      <c r="R24" s="109" t="s">
        <v>269</v>
      </c>
      <c r="S24" s="110" t="s">
        <v>3</v>
      </c>
      <c r="T24" s="111" t="s">
        <v>265</v>
      </c>
      <c r="U24" s="112" t="s">
        <v>435</v>
      </c>
      <c r="V24" s="108" t="s">
        <v>342</v>
      </c>
      <c r="W24" s="112" t="s">
        <v>315</v>
      </c>
      <c r="X24" s="113">
        <v>510</v>
      </c>
      <c r="Y24" s="113">
        <v>510</v>
      </c>
      <c r="Z24" s="114">
        <v>0</v>
      </c>
      <c r="AA24" s="113">
        <v>0</v>
      </c>
      <c r="AB24" s="113">
        <v>0</v>
      </c>
      <c r="AC24" s="113">
        <v>0</v>
      </c>
      <c r="AD24" s="113">
        <v>80</v>
      </c>
      <c r="AE24" s="113">
        <v>80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  <c r="AM24" s="113">
        <v>0</v>
      </c>
      <c r="AN24" s="113">
        <v>0</v>
      </c>
      <c r="AO24" s="113">
        <v>0</v>
      </c>
      <c r="AP24" s="113">
        <f>16</f>
        <v>16</v>
      </c>
      <c r="AQ24" s="113">
        <v>16</v>
      </c>
      <c r="AR24" s="113">
        <f>14</f>
        <v>14</v>
      </c>
      <c r="AS24" s="113">
        <v>14</v>
      </c>
      <c r="AT24" s="113">
        <v>4</v>
      </c>
      <c r="AU24" s="113">
        <v>4</v>
      </c>
      <c r="AV24" s="113">
        <v>0</v>
      </c>
      <c r="AW24" s="113">
        <v>0</v>
      </c>
      <c r="AX24" s="113">
        <v>0</v>
      </c>
      <c r="AY24" s="113">
        <v>0</v>
      </c>
      <c r="AZ24" s="113">
        <v>0</v>
      </c>
      <c r="BA24" s="113">
        <v>0</v>
      </c>
      <c r="BB24" s="113">
        <v>0</v>
      </c>
      <c r="BC24" s="113">
        <v>0</v>
      </c>
      <c r="BD24" s="113">
        <v>0</v>
      </c>
      <c r="BE24" s="113">
        <v>0</v>
      </c>
      <c r="BF24" s="113">
        <v>0</v>
      </c>
      <c r="BG24" s="113">
        <v>0</v>
      </c>
      <c r="BH24" s="113">
        <v>0</v>
      </c>
      <c r="BI24" s="113">
        <v>0</v>
      </c>
      <c r="BJ24" s="113">
        <v>0</v>
      </c>
      <c r="BK24" s="113">
        <v>0</v>
      </c>
      <c r="BL24" s="113">
        <v>0</v>
      </c>
      <c r="BM24" s="113">
        <v>0</v>
      </c>
      <c r="BN24" s="113">
        <f t="shared" si="27"/>
        <v>44600</v>
      </c>
      <c r="BO24" s="113">
        <f t="shared" si="28"/>
        <v>44600</v>
      </c>
      <c r="BP24" s="115" t="s">
        <v>3</v>
      </c>
      <c r="BQ24" s="104" t="s">
        <v>42</v>
      </c>
      <c r="BR24" s="104" t="s">
        <v>42</v>
      </c>
      <c r="BS24" s="104" t="s">
        <v>157</v>
      </c>
      <c r="BT24" s="104" t="s">
        <v>42</v>
      </c>
      <c r="BU24" s="116" t="s">
        <v>436</v>
      </c>
      <c r="BV24" s="191"/>
      <c r="BW24" s="117">
        <v>0</v>
      </c>
      <c r="BX24" s="118">
        <v>46215</v>
      </c>
      <c r="BY24" s="152" t="s">
        <v>42</v>
      </c>
      <c r="BZ24" s="115" t="s">
        <v>3</v>
      </c>
    </row>
    <row r="25" spans="1:78" s="2" customFormat="1" ht="63" customHeight="1" outlineLevel="1" x14ac:dyDescent="0.25">
      <c r="A25" s="202">
        <v>21</v>
      </c>
      <c r="B25" s="104" t="s">
        <v>464</v>
      </c>
      <c r="C25" s="106">
        <v>241768</v>
      </c>
      <c r="D25" s="106">
        <v>1166997</v>
      </c>
      <c r="E25" s="107" t="s">
        <v>93</v>
      </c>
      <c r="F25" s="108">
        <v>45977</v>
      </c>
      <c r="G25" s="108">
        <f t="shared" ref="G25" si="29">F25-1</f>
        <v>45976</v>
      </c>
      <c r="H25" s="106">
        <v>828238</v>
      </c>
      <c r="I25" s="106" t="s">
        <v>385</v>
      </c>
      <c r="J25" s="108">
        <v>46179</v>
      </c>
      <c r="K25" s="108">
        <v>46359</v>
      </c>
      <c r="L25" s="108">
        <v>46157</v>
      </c>
      <c r="M25" s="108">
        <v>46204</v>
      </c>
      <c r="N25" s="108" t="s">
        <v>240</v>
      </c>
      <c r="O25" s="112">
        <f t="shared" ref="O25" si="30">IF(N25="Backfilling",30,IF(N25="Reinstatement",20,IF(N25="Shut Down",30,IF(N25="Returned",0,""))))</f>
        <v>30</v>
      </c>
      <c r="P25" s="206" t="s">
        <v>259</v>
      </c>
      <c r="Q25" s="109">
        <f t="shared" ref="Q25" si="31">M25-G25</f>
        <v>228</v>
      </c>
      <c r="R25" s="109" t="s">
        <v>269</v>
      </c>
      <c r="S25" s="110" t="s">
        <v>3</v>
      </c>
      <c r="T25" s="111" t="s">
        <v>265</v>
      </c>
      <c r="U25" s="112" t="s">
        <v>435</v>
      </c>
      <c r="V25" s="108" t="s">
        <v>342</v>
      </c>
      <c r="W25" s="112" t="s">
        <v>315</v>
      </c>
      <c r="X25" s="113">
        <v>158</v>
      </c>
      <c r="Y25" s="113">
        <v>158</v>
      </c>
      <c r="Z25" s="114"/>
      <c r="AA25" s="113"/>
      <c r="AB25" s="113"/>
      <c r="AC25" s="113"/>
      <c r="AD25" s="113">
        <v>25</v>
      </c>
      <c r="AE25" s="113">
        <v>25</v>
      </c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>
        <f>5+2+6</f>
        <v>13</v>
      </c>
      <c r="AQ25" s="113">
        <v>13</v>
      </c>
      <c r="AR25" s="113">
        <f>4+2+6</f>
        <v>12</v>
      </c>
      <c r="AS25" s="113">
        <f>4+2+6</f>
        <v>12</v>
      </c>
      <c r="AT25" s="113">
        <v>5</v>
      </c>
      <c r="AU25" s="113">
        <v>5</v>
      </c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>
        <f t="shared" si="27"/>
        <v>22109</v>
      </c>
      <c r="BO25" s="113">
        <f t="shared" si="28"/>
        <v>22109</v>
      </c>
      <c r="BP25" s="115" t="s">
        <v>3</v>
      </c>
      <c r="BQ25" s="104" t="s">
        <v>42</v>
      </c>
      <c r="BR25" s="104" t="s">
        <v>42</v>
      </c>
      <c r="BS25" s="104" t="s">
        <v>157</v>
      </c>
      <c r="BT25" s="104" t="s">
        <v>42</v>
      </c>
      <c r="BU25" s="116" t="s">
        <v>464</v>
      </c>
      <c r="BV25" s="191"/>
      <c r="BW25" s="117"/>
      <c r="BX25" s="118">
        <v>46250</v>
      </c>
      <c r="BY25" s="152" t="s">
        <v>42</v>
      </c>
      <c r="BZ25" s="115" t="s">
        <v>3</v>
      </c>
    </row>
    <row r="26" spans="1:78" s="2" customFormat="1" ht="63" customHeight="1" outlineLevel="1" x14ac:dyDescent="0.25">
      <c r="A26" s="202">
        <v>22</v>
      </c>
      <c r="B26" s="172">
        <v>5</v>
      </c>
      <c r="C26" s="173">
        <v>241785</v>
      </c>
      <c r="D26" s="173">
        <v>1167084</v>
      </c>
      <c r="E26" s="174" t="s">
        <v>94</v>
      </c>
      <c r="F26" s="175">
        <v>45977</v>
      </c>
      <c r="G26" s="175">
        <f t="shared" si="0"/>
        <v>45976</v>
      </c>
      <c r="H26" s="173" t="s">
        <v>192</v>
      </c>
      <c r="I26" s="173" t="s">
        <v>276</v>
      </c>
      <c r="J26" s="175" t="s">
        <v>161</v>
      </c>
      <c r="K26" s="175" t="s">
        <v>161</v>
      </c>
      <c r="L26" s="175">
        <v>46157</v>
      </c>
      <c r="M26" s="175">
        <f t="shared" ref="M26:M93" ca="1" si="32">TODAY()</f>
        <v>46277</v>
      </c>
      <c r="N26" s="175" t="s">
        <v>267</v>
      </c>
      <c r="O26" s="179">
        <f t="shared" si="1"/>
        <v>30</v>
      </c>
      <c r="P26" s="205" t="s">
        <v>268</v>
      </c>
      <c r="Q26" s="176">
        <f t="shared" ca="1" si="19"/>
        <v>301</v>
      </c>
      <c r="R26" s="176" t="s">
        <v>269</v>
      </c>
      <c r="S26" s="177" t="s">
        <v>177</v>
      </c>
      <c r="T26" s="178" t="s">
        <v>265</v>
      </c>
      <c r="U26" s="179" t="s">
        <v>161</v>
      </c>
      <c r="V26" s="175" t="s">
        <v>342</v>
      </c>
      <c r="W26" s="179" t="s">
        <v>315</v>
      </c>
      <c r="X26" s="180"/>
      <c r="Y26" s="180"/>
      <c r="Z26" s="181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>
        <v>7</v>
      </c>
      <c r="AO26" s="180">
        <v>7</v>
      </c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>
        <f t="shared" si="2"/>
        <v>3150</v>
      </c>
      <c r="BO26" s="180">
        <f t="shared" si="2"/>
        <v>3150</v>
      </c>
      <c r="BP26" s="177" t="s">
        <v>177</v>
      </c>
      <c r="BQ26" s="172" t="s">
        <v>270</v>
      </c>
      <c r="BR26" s="172" t="s">
        <v>177</v>
      </c>
      <c r="BS26" s="172" t="s">
        <v>265</v>
      </c>
      <c r="BT26" s="172" t="s">
        <v>178</v>
      </c>
      <c r="BU26" s="183">
        <v>5</v>
      </c>
      <c r="BV26" s="193" t="s">
        <v>367</v>
      </c>
      <c r="BW26" s="184">
        <f>BO26</f>
        <v>3150</v>
      </c>
      <c r="BX26" s="185">
        <v>45986</v>
      </c>
      <c r="BY26" s="186" t="s">
        <v>250</v>
      </c>
      <c r="BZ26" s="182" t="s">
        <v>177</v>
      </c>
    </row>
    <row r="27" spans="1:78" s="2" customFormat="1" ht="63" customHeight="1" outlineLevel="1" x14ac:dyDescent="0.25">
      <c r="A27" s="34">
        <v>23</v>
      </c>
      <c r="B27" s="200">
        <v>6</v>
      </c>
      <c r="C27" s="121">
        <v>241930</v>
      </c>
      <c r="D27" s="121">
        <v>1169223</v>
      </c>
      <c r="E27" s="122" t="s">
        <v>127</v>
      </c>
      <c r="F27" s="123">
        <v>45980</v>
      </c>
      <c r="G27" s="123">
        <f t="shared" si="0"/>
        <v>45979</v>
      </c>
      <c r="H27" s="121" t="s">
        <v>192</v>
      </c>
      <c r="I27" s="121" t="s">
        <v>266</v>
      </c>
      <c r="J27" s="123" t="s">
        <v>161</v>
      </c>
      <c r="K27" s="123" t="s">
        <v>161</v>
      </c>
      <c r="L27" s="123">
        <v>46160</v>
      </c>
      <c r="M27" s="123">
        <f t="shared" ca="1" si="32"/>
        <v>46277</v>
      </c>
      <c r="N27" s="123" t="s">
        <v>157</v>
      </c>
      <c r="O27" s="210" t="str">
        <f t="shared" si="1"/>
        <v/>
      </c>
      <c r="P27" s="204" t="s">
        <v>268</v>
      </c>
      <c r="Q27" s="124">
        <f t="shared" ca="1" si="19"/>
        <v>298</v>
      </c>
      <c r="R27" s="124" t="s">
        <v>269</v>
      </c>
      <c r="S27" s="125" t="s">
        <v>157</v>
      </c>
      <c r="T27" s="126" t="s">
        <v>42</v>
      </c>
      <c r="U27" s="127" t="s">
        <v>128</v>
      </c>
      <c r="V27" s="120" t="s">
        <v>363</v>
      </c>
      <c r="W27" s="214" t="s">
        <v>317</v>
      </c>
      <c r="X27" s="128">
        <v>50</v>
      </c>
      <c r="Y27" s="128"/>
      <c r="Z27" s="129">
        <v>0</v>
      </c>
      <c r="AA27" s="128">
        <v>0</v>
      </c>
      <c r="AB27" s="128">
        <v>0</v>
      </c>
      <c r="AC27" s="128">
        <v>0</v>
      </c>
      <c r="AD27" s="128">
        <v>100</v>
      </c>
      <c r="AE27" s="128"/>
      <c r="AF27" s="128">
        <v>0</v>
      </c>
      <c r="AG27" s="128">
        <v>0</v>
      </c>
      <c r="AH27" s="128">
        <v>0</v>
      </c>
      <c r="AI27" s="128">
        <v>0</v>
      </c>
      <c r="AJ27" s="128"/>
      <c r="AK27" s="128"/>
      <c r="AL27" s="128">
        <v>1</v>
      </c>
      <c r="AM27" s="128"/>
      <c r="AN27" s="128">
        <v>1</v>
      </c>
      <c r="AO27" s="128"/>
      <c r="AP27" s="128">
        <v>0</v>
      </c>
      <c r="AQ27" s="128"/>
      <c r="AR27" s="128">
        <v>0</v>
      </c>
      <c r="AS27" s="128"/>
      <c r="AT27" s="128">
        <v>1</v>
      </c>
      <c r="AU27" s="128"/>
      <c r="AV27" s="128">
        <v>0</v>
      </c>
      <c r="AW27" s="128">
        <v>0</v>
      </c>
      <c r="AX27" s="128">
        <v>0</v>
      </c>
      <c r="AY27" s="128">
        <v>0</v>
      </c>
      <c r="AZ27" s="128">
        <v>0</v>
      </c>
      <c r="BA27" s="128">
        <v>0</v>
      </c>
      <c r="BB27" s="128">
        <v>0</v>
      </c>
      <c r="BC27" s="128">
        <v>0</v>
      </c>
      <c r="BD27" s="128">
        <v>0</v>
      </c>
      <c r="BE27" s="128">
        <v>0</v>
      </c>
      <c r="BF27" s="128">
        <v>0</v>
      </c>
      <c r="BG27" s="128">
        <v>0</v>
      </c>
      <c r="BH27" s="128">
        <v>0</v>
      </c>
      <c r="BI27" s="128">
        <v>0</v>
      </c>
      <c r="BJ27" s="128">
        <v>0</v>
      </c>
      <c r="BK27" s="128">
        <v>0</v>
      </c>
      <c r="BL27" s="128">
        <v>0</v>
      </c>
      <c r="BM27" s="128">
        <v>0</v>
      </c>
      <c r="BN27" s="128">
        <f t="shared" si="2"/>
        <v>8155</v>
      </c>
      <c r="BO27" s="128">
        <f t="shared" si="2"/>
        <v>0</v>
      </c>
      <c r="BP27" s="133" t="s">
        <v>157</v>
      </c>
      <c r="BQ27" s="120" t="s">
        <v>42</v>
      </c>
      <c r="BR27" s="120" t="s">
        <v>42</v>
      </c>
      <c r="BS27" s="120" t="s">
        <v>42</v>
      </c>
      <c r="BT27" s="120" t="s">
        <v>42</v>
      </c>
      <c r="BU27" s="130">
        <v>6</v>
      </c>
      <c r="BV27" s="190"/>
      <c r="BW27" s="131">
        <f t="shared" ref="BW27:BW53" si="33">BO27</f>
        <v>0</v>
      </c>
      <c r="BX27" s="217" t="s">
        <v>156</v>
      </c>
      <c r="BY27" s="151" t="s">
        <v>42</v>
      </c>
      <c r="BZ27" s="133" t="s">
        <v>157</v>
      </c>
    </row>
    <row r="28" spans="1:78" s="2" customFormat="1" ht="63" customHeight="1" outlineLevel="1" x14ac:dyDescent="0.25">
      <c r="A28" s="34">
        <v>24</v>
      </c>
      <c r="B28" s="200" t="s">
        <v>472</v>
      </c>
      <c r="C28" s="121">
        <v>241930</v>
      </c>
      <c r="D28" s="121">
        <v>1169223</v>
      </c>
      <c r="E28" s="122" t="s">
        <v>127</v>
      </c>
      <c r="F28" s="123">
        <v>45980</v>
      </c>
      <c r="G28" s="123">
        <f t="shared" ref="G28" si="34">F28-1</f>
        <v>45979</v>
      </c>
      <c r="H28" s="121" t="s">
        <v>192</v>
      </c>
      <c r="I28" s="121" t="s">
        <v>266</v>
      </c>
      <c r="J28" s="123" t="s">
        <v>161</v>
      </c>
      <c r="K28" s="123" t="s">
        <v>161</v>
      </c>
      <c r="L28" s="123">
        <v>46160</v>
      </c>
      <c r="M28" s="123">
        <f t="shared" ca="1" si="32"/>
        <v>46277</v>
      </c>
      <c r="N28" s="123" t="s">
        <v>157</v>
      </c>
      <c r="O28" s="210" t="str">
        <f t="shared" ref="O28" si="35">IF(N28="Backfilling",30,IF(N28="Reinstatement",20,IF(N28="Shut Down",30,IF(N28="Returned",0,""))))</f>
        <v/>
      </c>
      <c r="P28" s="204" t="s">
        <v>268</v>
      </c>
      <c r="Q28" s="124">
        <f t="shared" ref="Q28" ca="1" si="36">M28-G28</f>
        <v>298</v>
      </c>
      <c r="R28" s="124" t="s">
        <v>269</v>
      </c>
      <c r="S28" s="125" t="s">
        <v>157</v>
      </c>
      <c r="T28" s="126" t="s">
        <v>42</v>
      </c>
      <c r="U28" s="127" t="s">
        <v>128</v>
      </c>
      <c r="V28" s="120" t="s">
        <v>363</v>
      </c>
      <c r="W28" s="214" t="s">
        <v>317</v>
      </c>
      <c r="X28" s="128">
        <v>150</v>
      </c>
      <c r="Y28" s="128">
        <v>150</v>
      </c>
      <c r="Z28" s="129"/>
      <c r="AA28" s="128"/>
      <c r="AB28" s="128"/>
      <c r="AC28" s="128"/>
      <c r="AD28" s="128">
        <v>150</v>
      </c>
      <c r="AE28" s="128">
        <v>150</v>
      </c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>
        <v>1</v>
      </c>
      <c r="AQ28" s="128">
        <v>0</v>
      </c>
      <c r="AR28" s="128">
        <v>1</v>
      </c>
      <c r="AS28" s="128">
        <v>0</v>
      </c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>
        <f t="shared" si="2"/>
        <v>14715</v>
      </c>
      <c r="BO28" s="128">
        <f t="shared" si="2"/>
        <v>13950</v>
      </c>
      <c r="BP28" s="133" t="s">
        <v>157</v>
      </c>
      <c r="BQ28" s="120" t="s">
        <v>42</v>
      </c>
      <c r="BR28" s="120" t="s">
        <v>42</v>
      </c>
      <c r="BS28" s="120" t="s">
        <v>42</v>
      </c>
      <c r="BT28" s="120" t="s">
        <v>42</v>
      </c>
      <c r="BU28" s="130" t="s">
        <v>472</v>
      </c>
      <c r="BV28" s="190"/>
      <c r="BW28" s="131"/>
      <c r="BX28" s="217">
        <v>46265</v>
      </c>
      <c r="BY28" s="151" t="s">
        <v>42</v>
      </c>
      <c r="BZ28" s="133" t="s">
        <v>157</v>
      </c>
    </row>
    <row r="29" spans="1:78" s="2" customFormat="1" ht="63" customHeight="1" outlineLevel="1" x14ac:dyDescent="0.25">
      <c r="A29" s="34">
        <v>25</v>
      </c>
      <c r="B29" s="77">
        <v>7</v>
      </c>
      <c r="C29" s="78">
        <v>241931</v>
      </c>
      <c r="D29" s="78">
        <v>1169224</v>
      </c>
      <c r="E29" s="35" t="s">
        <v>125</v>
      </c>
      <c r="F29" s="36">
        <v>45980</v>
      </c>
      <c r="G29" s="36">
        <f t="shared" si="0"/>
        <v>45979</v>
      </c>
      <c r="H29" s="78" t="s">
        <v>192</v>
      </c>
      <c r="I29" s="78" t="s">
        <v>266</v>
      </c>
      <c r="J29" s="36" t="s">
        <v>161</v>
      </c>
      <c r="K29" s="36" t="s">
        <v>161</v>
      </c>
      <c r="L29" s="36">
        <v>46160</v>
      </c>
      <c r="M29" s="36">
        <f t="shared" ca="1" si="32"/>
        <v>46277</v>
      </c>
      <c r="N29" s="36" t="s">
        <v>262</v>
      </c>
      <c r="O29" s="169" t="str">
        <f t="shared" si="1"/>
        <v/>
      </c>
      <c r="P29" s="207" t="s">
        <v>268</v>
      </c>
      <c r="Q29" s="66">
        <f t="shared" ref="Q29:Q54" ca="1" si="37">M29-G29</f>
        <v>298</v>
      </c>
      <c r="R29" s="66" t="s">
        <v>269</v>
      </c>
      <c r="S29" s="79" t="s">
        <v>42</v>
      </c>
      <c r="T29" s="37" t="s">
        <v>42</v>
      </c>
      <c r="U29" s="38" t="s">
        <v>117</v>
      </c>
      <c r="V29" s="34" t="s">
        <v>361</v>
      </c>
      <c r="W29" s="40" t="s">
        <v>318</v>
      </c>
      <c r="X29" s="47">
        <v>120</v>
      </c>
      <c r="Y29" s="47"/>
      <c r="Z29" s="76">
        <v>0</v>
      </c>
      <c r="AA29" s="47">
        <v>0</v>
      </c>
      <c r="AB29" s="47"/>
      <c r="AC29" s="47"/>
      <c r="AD29" s="47">
        <v>0</v>
      </c>
      <c r="AE29" s="47">
        <v>0</v>
      </c>
      <c r="AF29" s="47"/>
      <c r="AG29" s="47"/>
      <c r="AH29" s="47"/>
      <c r="AI29" s="47"/>
      <c r="AJ29" s="47">
        <f>32+30</f>
        <v>62</v>
      </c>
      <c r="AK29" s="47"/>
      <c r="AL29" s="47">
        <v>2</v>
      </c>
      <c r="AM29" s="47"/>
      <c r="AN29" s="47">
        <v>2</v>
      </c>
      <c r="AO29" s="47"/>
      <c r="AP29" s="47">
        <v>6</v>
      </c>
      <c r="AQ29" s="47"/>
      <c r="AR29" s="47">
        <v>6</v>
      </c>
      <c r="AS29" s="47"/>
      <c r="AT29" s="47">
        <v>4</v>
      </c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>
        <f t="shared" si="2"/>
        <v>54790</v>
      </c>
      <c r="BO29" s="47">
        <f t="shared" si="2"/>
        <v>0</v>
      </c>
      <c r="BP29" s="39" t="s">
        <v>275</v>
      </c>
      <c r="BQ29" s="34" t="s">
        <v>42</v>
      </c>
      <c r="BR29" s="34" t="s">
        <v>42</v>
      </c>
      <c r="BS29" s="34" t="s">
        <v>157</v>
      </c>
      <c r="BT29" s="34" t="s">
        <v>42</v>
      </c>
      <c r="BU29" s="80">
        <v>7</v>
      </c>
      <c r="BV29" s="192"/>
      <c r="BW29" s="67">
        <f t="shared" si="33"/>
        <v>0</v>
      </c>
      <c r="BX29" s="83" t="s">
        <v>156</v>
      </c>
      <c r="BY29" s="153" t="s">
        <v>42</v>
      </c>
      <c r="BZ29" s="39" t="s">
        <v>190</v>
      </c>
    </row>
    <row r="30" spans="1:78" s="2" customFormat="1" ht="63" customHeight="1" outlineLevel="1" x14ac:dyDescent="0.25">
      <c r="A30" s="34">
        <v>26</v>
      </c>
      <c r="B30" s="77">
        <v>8</v>
      </c>
      <c r="C30" s="78">
        <v>241932</v>
      </c>
      <c r="D30" s="78">
        <v>1169225</v>
      </c>
      <c r="E30" s="35" t="s">
        <v>118</v>
      </c>
      <c r="F30" s="36">
        <v>45980</v>
      </c>
      <c r="G30" s="36">
        <f t="shared" si="0"/>
        <v>45979</v>
      </c>
      <c r="H30" s="78" t="s">
        <v>192</v>
      </c>
      <c r="I30" s="78" t="s">
        <v>266</v>
      </c>
      <c r="J30" s="36" t="s">
        <v>161</v>
      </c>
      <c r="K30" s="36" t="s">
        <v>161</v>
      </c>
      <c r="L30" s="36">
        <v>46344</v>
      </c>
      <c r="M30" s="36">
        <f t="shared" ca="1" si="32"/>
        <v>46277</v>
      </c>
      <c r="N30" s="36" t="s">
        <v>262</v>
      </c>
      <c r="O30" s="169" t="str">
        <f t="shared" si="1"/>
        <v/>
      </c>
      <c r="P30" s="207" t="s">
        <v>268</v>
      </c>
      <c r="Q30" s="66">
        <f t="shared" ca="1" si="37"/>
        <v>298</v>
      </c>
      <c r="R30" s="66" t="s">
        <v>269</v>
      </c>
      <c r="S30" s="79" t="s">
        <v>42</v>
      </c>
      <c r="T30" s="37" t="s">
        <v>42</v>
      </c>
      <c r="U30" s="38" t="s">
        <v>119</v>
      </c>
      <c r="V30" s="34" t="s">
        <v>357</v>
      </c>
      <c r="W30" s="40" t="s">
        <v>312</v>
      </c>
      <c r="X30" s="47">
        <v>4150</v>
      </c>
      <c r="Y30" s="47"/>
      <c r="Z30" s="76">
        <v>880</v>
      </c>
      <c r="AA30" s="47"/>
      <c r="AB30" s="47">
        <v>0</v>
      </c>
      <c r="AC30" s="47">
        <v>0</v>
      </c>
      <c r="AD30" s="47">
        <v>2000</v>
      </c>
      <c r="AE30" s="47"/>
      <c r="AF30" s="47">
        <v>1500</v>
      </c>
      <c r="AG30" s="47"/>
      <c r="AH30" s="47">
        <v>250</v>
      </c>
      <c r="AI30" s="47"/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25</v>
      </c>
      <c r="AQ30" s="47"/>
      <c r="AR30" s="47">
        <v>25</v>
      </c>
      <c r="AS30" s="47"/>
      <c r="AT30" s="47">
        <v>20</v>
      </c>
      <c r="AU30" s="47"/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f t="shared" si="2"/>
        <v>545835</v>
      </c>
      <c r="BO30" s="47">
        <f t="shared" si="2"/>
        <v>0</v>
      </c>
      <c r="BP30" s="39" t="s">
        <v>275</v>
      </c>
      <c r="BQ30" s="34" t="s">
        <v>42</v>
      </c>
      <c r="BR30" s="34" t="s">
        <v>42</v>
      </c>
      <c r="BS30" s="34" t="s">
        <v>157</v>
      </c>
      <c r="BT30" s="34" t="s">
        <v>42</v>
      </c>
      <c r="BU30" s="80">
        <v>8</v>
      </c>
      <c r="BV30" s="192"/>
      <c r="BW30" s="67">
        <f t="shared" si="33"/>
        <v>0</v>
      </c>
      <c r="BX30" s="68" t="s">
        <v>156</v>
      </c>
      <c r="BY30" s="153" t="s">
        <v>42</v>
      </c>
      <c r="BZ30" s="39" t="s">
        <v>190</v>
      </c>
    </row>
    <row r="31" spans="1:78" s="2" customFormat="1" ht="63" customHeight="1" outlineLevel="1" x14ac:dyDescent="0.25">
      <c r="A31" s="34">
        <v>27</v>
      </c>
      <c r="B31" s="77">
        <v>9</v>
      </c>
      <c r="C31" s="78">
        <v>241933</v>
      </c>
      <c r="D31" s="78">
        <v>1169226</v>
      </c>
      <c r="E31" s="35" t="s">
        <v>124</v>
      </c>
      <c r="F31" s="36">
        <v>45980</v>
      </c>
      <c r="G31" s="36">
        <f t="shared" si="0"/>
        <v>45979</v>
      </c>
      <c r="H31" s="78">
        <v>814967</v>
      </c>
      <c r="I31" s="78" t="s">
        <v>385</v>
      </c>
      <c r="J31" s="36">
        <v>46050</v>
      </c>
      <c r="K31" s="36">
        <v>46226</v>
      </c>
      <c r="L31" s="36">
        <v>46723</v>
      </c>
      <c r="M31" s="36">
        <f t="shared" ca="1" si="32"/>
        <v>46277</v>
      </c>
      <c r="N31" s="36" t="s">
        <v>157</v>
      </c>
      <c r="O31" s="36" t="str">
        <f t="shared" si="1"/>
        <v/>
      </c>
      <c r="P31" s="207" t="s">
        <v>268</v>
      </c>
      <c r="Q31" s="66">
        <f t="shared" ca="1" si="37"/>
        <v>298</v>
      </c>
      <c r="R31" s="66" t="s">
        <v>269</v>
      </c>
      <c r="S31" s="79" t="s">
        <v>42</v>
      </c>
      <c r="T31" s="37" t="s">
        <v>42</v>
      </c>
      <c r="U31" s="40" t="s">
        <v>120</v>
      </c>
      <c r="V31" s="34" t="s">
        <v>352</v>
      </c>
      <c r="W31" s="40" t="s">
        <v>319</v>
      </c>
      <c r="X31" s="47">
        <v>1257</v>
      </c>
      <c r="Y31" s="47"/>
      <c r="Z31" s="76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1</v>
      </c>
      <c r="AM31" s="47"/>
      <c r="AN31" s="47">
        <v>1</v>
      </c>
      <c r="AO31" s="47"/>
      <c r="AP31" s="47">
        <v>6</v>
      </c>
      <c r="AQ31" s="47"/>
      <c r="AR31" s="47">
        <v>6</v>
      </c>
      <c r="AS31" s="47"/>
      <c r="AT31" s="47">
        <v>1</v>
      </c>
      <c r="AU31" s="47"/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f t="shared" si="2"/>
        <v>72716</v>
      </c>
      <c r="BO31" s="47">
        <f t="shared" si="2"/>
        <v>0</v>
      </c>
      <c r="BP31" s="39" t="s">
        <v>275</v>
      </c>
      <c r="BQ31" s="34" t="s">
        <v>42</v>
      </c>
      <c r="BR31" s="34" t="s">
        <v>42</v>
      </c>
      <c r="BS31" s="34" t="s">
        <v>157</v>
      </c>
      <c r="BT31" s="34" t="s">
        <v>42</v>
      </c>
      <c r="BU31" s="80">
        <v>9</v>
      </c>
      <c r="BV31" s="192"/>
      <c r="BW31" s="67">
        <f t="shared" si="33"/>
        <v>0</v>
      </c>
      <c r="BX31" s="68" t="s">
        <v>156</v>
      </c>
      <c r="BY31" s="153" t="s">
        <v>42</v>
      </c>
      <c r="BZ31" s="39" t="s">
        <v>190</v>
      </c>
    </row>
    <row r="32" spans="1:78" s="2" customFormat="1" ht="63" customHeight="1" outlineLevel="1" x14ac:dyDescent="0.25">
      <c r="A32" s="34">
        <v>28</v>
      </c>
      <c r="B32" s="172" t="s">
        <v>153</v>
      </c>
      <c r="C32" s="173">
        <v>241934</v>
      </c>
      <c r="D32" s="173">
        <v>1169228</v>
      </c>
      <c r="E32" s="174" t="s">
        <v>123</v>
      </c>
      <c r="F32" s="175">
        <v>45980</v>
      </c>
      <c r="G32" s="175">
        <f t="shared" si="0"/>
        <v>45979</v>
      </c>
      <c r="H32" s="173" t="s">
        <v>42</v>
      </c>
      <c r="I32" s="173" t="s">
        <v>42</v>
      </c>
      <c r="J32" s="175" t="s">
        <v>42</v>
      </c>
      <c r="K32" s="175" t="s">
        <v>42</v>
      </c>
      <c r="L32" s="175">
        <v>46160</v>
      </c>
      <c r="M32" s="175">
        <v>46068</v>
      </c>
      <c r="N32" s="175" t="s">
        <v>240</v>
      </c>
      <c r="O32" s="179">
        <f t="shared" si="1"/>
        <v>30</v>
      </c>
      <c r="P32" s="205" t="s">
        <v>268</v>
      </c>
      <c r="Q32" s="176">
        <f t="shared" si="37"/>
        <v>89</v>
      </c>
      <c r="R32" s="176" t="s">
        <v>269</v>
      </c>
      <c r="S32" s="177" t="s">
        <v>177</v>
      </c>
      <c r="T32" s="178" t="s">
        <v>265</v>
      </c>
      <c r="U32" s="179" t="s">
        <v>121</v>
      </c>
      <c r="V32" s="175" t="s">
        <v>356</v>
      </c>
      <c r="W32" s="179" t="s">
        <v>320</v>
      </c>
      <c r="X32" s="180">
        <v>513.54999999999995</v>
      </c>
      <c r="Y32" s="180">
        <v>513.54999999999995</v>
      </c>
      <c r="Z32" s="181">
        <v>64.14</v>
      </c>
      <c r="AA32" s="180">
        <v>64.14</v>
      </c>
      <c r="AB32" s="180">
        <v>0</v>
      </c>
      <c r="AC32" s="180">
        <v>0</v>
      </c>
      <c r="AD32" s="180">
        <v>0</v>
      </c>
      <c r="AE32" s="180">
        <v>0</v>
      </c>
      <c r="AF32" s="180">
        <v>0</v>
      </c>
      <c r="AG32" s="180">
        <v>0</v>
      </c>
      <c r="AH32" s="180">
        <v>53.45</v>
      </c>
      <c r="AI32" s="180">
        <v>53.45</v>
      </c>
      <c r="AJ32" s="180">
        <v>0</v>
      </c>
      <c r="AK32" s="180">
        <v>0</v>
      </c>
      <c r="AL32" s="180">
        <v>0</v>
      </c>
      <c r="AM32" s="180">
        <v>0</v>
      </c>
      <c r="AN32" s="180">
        <v>0</v>
      </c>
      <c r="AO32" s="180">
        <v>0</v>
      </c>
      <c r="AP32" s="180">
        <v>25</v>
      </c>
      <c r="AQ32" s="180">
        <v>25</v>
      </c>
      <c r="AR32" s="180">
        <v>23</v>
      </c>
      <c r="AS32" s="180">
        <v>23</v>
      </c>
      <c r="AT32" s="180">
        <v>9</v>
      </c>
      <c r="AU32" s="180">
        <v>9</v>
      </c>
      <c r="AV32" s="180">
        <v>0</v>
      </c>
      <c r="AW32" s="180">
        <v>0</v>
      </c>
      <c r="AX32" s="180">
        <v>0</v>
      </c>
      <c r="AY32" s="180">
        <v>0</v>
      </c>
      <c r="AZ32" s="180">
        <v>0</v>
      </c>
      <c r="BA32" s="180">
        <v>0</v>
      </c>
      <c r="BB32" s="180">
        <v>0</v>
      </c>
      <c r="BC32" s="180">
        <v>0</v>
      </c>
      <c r="BD32" s="180">
        <v>0</v>
      </c>
      <c r="BE32" s="180">
        <v>0</v>
      </c>
      <c r="BF32" s="180">
        <v>0</v>
      </c>
      <c r="BG32" s="180">
        <v>0</v>
      </c>
      <c r="BH32" s="180">
        <v>0</v>
      </c>
      <c r="BI32" s="180">
        <v>0</v>
      </c>
      <c r="BJ32" s="180">
        <v>0</v>
      </c>
      <c r="BK32" s="180">
        <v>0</v>
      </c>
      <c r="BL32" s="180">
        <v>0</v>
      </c>
      <c r="BM32" s="180">
        <v>0</v>
      </c>
      <c r="BN32" s="180">
        <f t="shared" si="2"/>
        <v>63769.929999999993</v>
      </c>
      <c r="BO32" s="180">
        <f t="shared" si="2"/>
        <v>63769.929999999993</v>
      </c>
      <c r="BP32" s="177" t="s">
        <v>177</v>
      </c>
      <c r="BQ32" s="172" t="s">
        <v>270</v>
      </c>
      <c r="BR32" s="172" t="s">
        <v>177</v>
      </c>
      <c r="BS32" s="172" t="s">
        <v>250</v>
      </c>
      <c r="BT32" s="172" t="s">
        <v>425</v>
      </c>
      <c r="BU32" s="183" t="s">
        <v>153</v>
      </c>
      <c r="BV32" s="193" t="s">
        <v>372</v>
      </c>
      <c r="BW32" s="184">
        <f t="shared" si="33"/>
        <v>63769.929999999993</v>
      </c>
      <c r="BX32" s="185">
        <v>46001</v>
      </c>
      <c r="BY32" s="186" t="s">
        <v>250</v>
      </c>
      <c r="BZ32" s="182" t="s">
        <v>177</v>
      </c>
    </row>
    <row r="33" spans="1:78" s="2" customFormat="1" ht="63" customHeight="1" outlineLevel="1" x14ac:dyDescent="0.25">
      <c r="A33" s="34">
        <v>29</v>
      </c>
      <c r="B33" s="172" t="s">
        <v>154</v>
      </c>
      <c r="C33" s="173">
        <v>241934</v>
      </c>
      <c r="D33" s="173">
        <v>1169228</v>
      </c>
      <c r="E33" s="174" t="s">
        <v>123</v>
      </c>
      <c r="F33" s="175">
        <v>45980</v>
      </c>
      <c r="G33" s="175">
        <f t="shared" si="0"/>
        <v>45979</v>
      </c>
      <c r="H33" s="173" t="s">
        <v>42</v>
      </c>
      <c r="I33" s="173" t="s">
        <v>385</v>
      </c>
      <c r="J33" s="175" t="s">
        <v>42</v>
      </c>
      <c r="K33" s="175" t="s">
        <v>42</v>
      </c>
      <c r="L33" s="175">
        <v>46160</v>
      </c>
      <c r="M33" s="175">
        <v>46096</v>
      </c>
      <c r="N33" s="175" t="s">
        <v>240</v>
      </c>
      <c r="O33" s="179">
        <f t="shared" si="1"/>
        <v>30</v>
      </c>
      <c r="P33" s="205" t="s">
        <v>268</v>
      </c>
      <c r="Q33" s="176">
        <f t="shared" si="37"/>
        <v>117</v>
      </c>
      <c r="R33" s="176" t="s">
        <v>269</v>
      </c>
      <c r="S33" s="177" t="s">
        <v>177</v>
      </c>
      <c r="T33" s="178" t="s">
        <v>265</v>
      </c>
      <c r="U33" s="179" t="s">
        <v>121</v>
      </c>
      <c r="V33" s="175" t="s">
        <v>356</v>
      </c>
      <c r="W33" s="179" t="s">
        <v>320</v>
      </c>
      <c r="X33" s="180">
        <v>58</v>
      </c>
      <c r="Y33" s="180">
        <v>58</v>
      </c>
      <c r="Z33" s="181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0</v>
      </c>
      <c r="AF33" s="180">
        <v>0</v>
      </c>
      <c r="AG33" s="180">
        <v>0</v>
      </c>
      <c r="AH33" s="180">
        <v>0</v>
      </c>
      <c r="AI33" s="180">
        <v>0</v>
      </c>
      <c r="AJ33" s="180">
        <v>0</v>
      </c>
      <c r="AK33" s="180">
        <v>0</v>
      </c>
      <c r="AL33" s="180">
        <v>0</v>
      </c>
      <c r="AM33" s="180">
        <v>0</v>
      </c>
      <c r="AN33" s="180">
        <v>0</v>
      </c>
      <c r="AO33" s="180">
        <v>0</v>
      </c>
      <c r="AP33" s="180">
        <v>1</v>
      </c>
      <c r="AQ33" s="180">
        <v>1</v>
      </c>
      <c r="AR33" s="180">
        <v>1</v>
      </c>
      <c r="AS33" s="180">
        <v>1</v>
      </c>
      <c r="AT33" s="180"/>
      <c r="AU33" s="180"/>
      <c r="AV33" s="180">
        <v>0</v>
      </c>
      <c r="AW33" s="180">
        <v>0</v>
      </c>
      <c r="AX33" s="180">
        <v>0</v>
      </c>
      <c r="AY33" s="180">
        <v>0</v>
      </c>
      <c r="AZ33" s="180">
        <v>0</v>
      </c>
      <c r="BA33" s="180">
        <v>0</v>
      </c>
      <c r="BB33" s="180">
        <v>0</v>
      </c>
      <c r="BC33" s="180">
        <v>0</v>
      </c>
      <c r="BD33" s="180">
        <v>0</v>
      </c>
      <c r="BE33" s="180">
        <v>0</v>
      </c>
      <c r="BF33" s="180">
        <v>0</v>
      </c>
      <c r="BG33" s="180">
        <v>0</v>
      </c>
      <c r="BH33" s="180">
        <v>0</v>
      </c>
      <c r="BI33" s="180">
        <v>0</v>
      </c>
      <c r="BJ33" s="180">
        <v>0</v>
      </c>
      <c r="BK33" s="180">
        <v>0</v>
      </c>
      <c r="BL33" s="180">
        <v>0</v>
      </c>
      <c r="BM33" s="180">
        <v>0</v>
      </c>
      <c r="BN33" s="180">
        <f t="shared" si="2"/>
        <v>3839</v>
      </c>
      <c r="BO33" s="180">
        <f t="shared" si="2"/>
        <v>3839</v>
      </c>
      <c r="BP33" s="177" t="s">
        <v>177</v>
      </c>
      <c r="BQ33" s="172" t="s">
        <v>270</v>
      </c>
      <c r="BR33" s="172" t="s">
        <v>177</v>
      </c>
      <c r="BS33" s="172" t="s">
        <v>250</v>
      </c>
      <c r="BT33" s="172" t="s">
        <v>389</v>
      </c>
      <c r="BU33" s="183" t="s">
        <v>154</v>
      </c>
      <c r="BV33" s="193" t="s">
        <v>374</v>
      </c>
      <c r="BW33" s="184">
        <f t="shared" si="33"/>
        <v>3839</v>
      </c>
      <c r="BX33" s="185">
        <v>46020</v>
      </c>
      <c r="BY33" s="186" t="s">
        <v>250</v>
      </c>
      <c r="BZ33" s="182" t="s">
        <v>177</v>
      </c>
    </row>
    <row r="34" spans="1:78" s="2" customFormat="1" ht="63" customHeight="1" outlineLevel="1" x14ac:dyDescent="0.25">
      <c r="A34" s="34">
        <v>30</v>
      </c>
      <c r="B34" s="172" t="s">
        <v>155</v>
      </c>
      <c r="C34" s="173">
        <v>241934</v>
      </c>
      <c r="D34" s="173">
        <v>1169228</v>
      </c>
      <c r="E34" s="174" t="s">
        <v>123</v>
      </c>
      <c r="F34" s="175">
        <v>45980</v>
      </c>
      <c r="G34" s="175">
        <f t="shared" si="0"/>
        <v>45979</v>
      </c>
      <c r="H34" s="173" t="s">
        <v>42</v>
      </c>
      <c r="I34" s="173" t="s">
        <v>42</v>
      </c>
      <c r="J34" s="175" t="s">
        <v>42</v>
      </c>
      <c r="K34" s="175" t="s">
        <v>42</v>
      </c>
      <c r="L34" s="175">
        <v>46160</v>
      </c>
      <c r="M34" s="175">
        <v>46035</v>
      </c>
      <c r="N34" s="175" t="s">
        <v>240</v>
      </c>
      <c r="O34" s="179">
        <f t="shared" si="1"/>
        <v>30</v>
      </c>
      <c r="P34" s="205" t="s">
        <v>268</v>
      </c>
      <c r="Q34" s="176">
        <f t="shared" si="37"/>
        <v>56</v>
      </c>
      <c r="R34" s="176" t="s">
        <v>269</v>
      </c>
      <c r="S34" s="177" t="s">
        <v>177</v>
      </c>
      <c r="T34" s="178" t="s">
        <v>265</v>
      </c>
      <c r="U34" s="179" t="s">
        <v>121</v>
      </c>
      <c r="V34" s="175" t="s">
        <v>356</v>
      </c>
      <c r="W34" s="179" t="s">
        <v>320</v>
      </c>
      <c r="X34" s="180">
        <v>21</v>
      </c>
      <c r="Y34" s="180">
        <v>21</v>
      </c>
      <c r="Z34" s="181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0">
        <v>0</v>
      </c>
      <c r="AG34" s="180">
        <v>0</v>
      </c>
      <c r="AH34" s="180">
        <v>0</v>
      </c>
      <c r="AI34" s="180">
        <v>0</v>
      </c>
      <c r="AJ34" s="180">
        <v>0</v>
      </c>
      <c r="AK34" s="180">
        <v>0</v>
      </c>
      <c r="AL34" s="180">
        <v>0</v>
      </c>
      <c r="AM34" s="180">
        <v>0</v>
      </c>
      <c r="AN34" s="180">
        <v>0</v>
      </c>
      <c r="AO34" s="180">
        <v>0</v>
      </c>
      <c r="AP34" s="180">
        <v>0</v>
      </c>
      <c r="AQ34" s="180"/>
      <c r="AR34" s="180">
        <v>0</v>
      </c>
      <c r="AS34" s="180"/>
      <c r="AT34" s="180">
        <v>0</v>
      </c>
      <c r="AU34" s="180"/>
      <c r="AV34" s="180">
        <v>0</v>
      </c>
      <c r="AW34" s="180">
        <v>0</v>
      </c>
      <c r="AX34" s="180">
        <v>0</v>
      </c>
      <c r="AY34" s="180">
        <v>0</v>
      </c>
      <c r="AZ34" s="180">
        <v>0</v>
      </c>
      <c r="BA34" s="180">
        <v>0</v>
      </c>
      <c r="BB34" s="180">
        <v>0</v>
      </c>
      <c r="BC34" s="180">
        <v>0</v>
      </c>
      <c r="BD34" s="180">
        <v>0</v>
      </c>
      <c r="BE34" s="180">
        <v>0</v>
      </c>
      <c r="BF34" s="180">
        <v>0</v>
      </c>
      <c r="BG34" s="180">
        <v>0</v>
      </c>
      <c r="BH34" s="180">
        <v>0</v>
      </c>
      <c r="BI34" s="180">
        <v>0</v>
      </c>
      <c r="BJ34" s="180">
        <v>0</v>
      </c>
      <c r="BK34" s="180">
        <v>0</v>
      </c>
      <c r="BL34" s="180">
        <v>0</v>
      </c>
      <c r="BM34" s="180">
        <v>0</v>
      </c>
      <c r="BN34" s="180">
        <f t="shared" si="2"/>
        <v>1113</v>
      </c>
      <c r="BO34" s="180">
        <f t="shared" si="2"/>
        <v>1113</v>
      </c>
      <c r="BP34" s="177" t="s">
        <v>177</v>
      </c>
      <c r="BQ34" s="172" t="s">
        <v>270</v>
      </c>
      <c r="BR34" s="172" t="s">
        <v>177</v>
      </c>
      <c r="BS34" s="172" t="s">
        <v>250</v>
      </c>
      <c r="BT34" s="172" t="s">
        <v>425</v>
      </c>
      <c r="BU34" s="183" t="s">
        <v>155</v>
      </c>
      <c r="BV34" s="193" t="s">
        <v>372</v>
      </c>
      <c r="BW34" s="184">
        <f t="shared" si="33"/>
        <v>1113</v>
      </c>
      <c r="BX34" s="185">
        <v>46020</v>
      </c>
      <c r="BY34" s="186" t="s">
        <v>250</v>
      </c>
      <c r="BZ34" s="182" t="s">
        <v>177</v>
      </c>
    </row>
    <row r="35" spans="1:78" s="2" customFormat="1" ht="63" customHeight="1" outlineLevel="1" x14ac:dyDescent="0.25">
      <c r="A35" s="34">
        <v>31</v>
      </c>
      <c r="B35" s="172" t="s">
        <v>175</v>
      </c>
      <c r="C35" s="173">
        <v>241934</v>
      </c>
      <c r="D35" s="173">
        <v>1169228</v>
      </c>
      <c r="E35" s="174" t="s">
        <v>123</v>
      </c>
      <c r="F35" s="175">
        <v>45980</v>
      </c>
      <c r="G35" s="175">
        <f t="shared" si="0"/>
        <v>45979</v>
      </c>
      <c r="H35" s="173" t="s">
        <v>42</v>
      </c>
      <c r="I35" s="173" t="s">
        <v>42</v>
      </c>
      <c r="J35" s="175" t="s">
        <v>42</v>
      </c>
      <c r="K35" s="175" t="s">
        <v>42</v>
      </c>
      <c r="L35" s="175">
        <v>46160</v>
      </c>
      <c r="M35" s="175">
        <v>46075</v>
      </c>
      <c r="N35" s="175" t="s">
        <v>240</v>
      </c>
      <c r="O35" s="179">
        <f t="shared" si="1"/>
        <v>30</v>
      </c>
      <c r="P35" s="205" t="s">
        <v>268</v>
      </c>
      <c r="Q35" s="176">
        <f t="shared" si="37"/>
        <v>96</v>
      </c>
      <c r="R35" s="176" t="s">
        <v>269</v>
      </c>
      <c r="S35" s="177" t="s">
        <v>177</v>
      </c>
      <c r="T35" s="178" t="s">
        <v>265</v>
      </c>
      <c r="U35" s="179" t="s">
        <v>121</v>
      </c>
      <c r="V35" s="175" t="s">
        <v>356</v>
      </c>
      <c r="W35" s="179" t="s">
        <v>320</v>
      </c>
      <c r="X35" s="180">
        <v>20</v>
      </c>
      <c r="Y35" s="180">
        <v>20</v>
      </c>
      <c r="Z35" s="181">
        <v>0</v>
      </c>
      <c r="AA35" s="180">
        <v>0</v>
      </c>
      <c r="AB35" s="180">
        <v>0</v>
      </c>
      <c r="AC35" s="180">
        <v>0</v>
      </c>
      <c r="AD35" s="180">
        <v>0</v>
      </c>
      <c r="AE35" s="180">
        <v>0</v>
      </c>
      <c r="AF35" s="180">
        <v>0</v>
      </c>
      <c r="AG35" s="180">
        <v>0</v>
      </c>
      <c r="AH35" s="180">
        <v>0</v>
      </c>
      <c r="AI35" s="180">
        <v>0</v>
      </c>
      <c r="AJ35" s="180">
        <v>0</v>
      </c>
      <c r="AK35" s="180">
        <v>0</v>
      </c>
      <c r="AL35" s="180">
        <v>0</v>
      </c>
      <c r="AM35" s="180">
        <v>0</v>
      </c>
      <c r="AN35" s="180">
        <v>0</v>
      </c>
      <c r="AO35" s="180">
        <v>0</v>
      </c>
      <c r="AP35" s="180">
        <v>8</v>
      </c>
      <c r="AQ35" s="180">
        <v>8</v>
      </c>
      <c r="AR35" s="180">
        <v>3</v>
      </c>
      <c r="AS35" s="180">
        <v>3</v>
      </c>
      <c r="AT35" s="180">
        <v>5</v>
      </c>
      <c r="AU35" s="180">
        <v>5</v>
      </c>
      <c r="AV35" s="180">
        <v>0</v>
      </c>
      <c r="AW35" s="180">
        <v>0</v>
      </c>
      <c r="AX35" s="180">
        <v>0</v>
      </c>
      <c r="AY35" s="180">
        <v>0</v>
      </c>
      <c r="AZ35" s="180">
        <v>0</v>
      </c>
      <c r="BA35" s="180">
        <v>0</v>
      </c>
      <c r="BB35" s="180">
        <v>0</v>
      </c>
      <c r="BC35" s="180">
        <v>0</v>
      </c>
      <c r="BD35" s="180">
        <v>0</v>
      </c>
      <c r="BE35" s="180">
        <v>0</v>
      </c>
      <c r="BF35" s="180">
        <v>0</v>
      </c>
      <c r="BG35" s="180">
        <v>0</v>
      </c>
      <c r="BH35" s="180">
        <v>0</v>
      </c>
      <c r="BI35" s="180">
        <v>0</v>
      </c>
      <c r="BJ35" s="180">
        <v>0</v>
      </c>
      <c r="BK35" s="180">
        <v>0</v>
      </c>
      <c r="BL35" s="180">
        <v>0</v>
      </c>
      <c r="BM35" s="180">
        <v>0</v>
      </c>
      <c r="BN35" s="180">
        <f t="shared" ref="BN35" si="38">X35*53+Z35*77+AB35*30+AD35*40+AF35*75+AH35*140+AJ35*640+AL35*480+AN35*450+AP35*680+AR35*85+AT35*575+AV35*2+AX35*1.5+AZ35*1800+BB35*900+BD35*1500+BF35*1500+BH35*1500+BJ35*600+BL35*750</f>
        <v>9630</v>
      </c>
      <c r="BO35" s="180">
        <f t="shared" ref="BO35" si="39">Y35*53+AA35*77+AC35*30+AE35*40+AG35*75+AI35*140+AK35*640+AM35*480+AO35*450+AQ35*680+AS35*85+AU35*575+AW35*2+AY35*1.5+BA35*1800+BC35*900+BE35*1500+BG35*1500+BI35*1500+BK35*600+BM35*750</f>
        <v>9630</v>
      </c>
      <c r="BP35" s="177" t="s">
        <v>177</v>
      </c>
      <c r="BQ35" s="172" t="s">
        <v>270</v>
      </c>
      <c r="BR35" s="172" t="s">
        <v>177</v>
      </c>
      <c r="BS35" s="172" t="s">
        <v>250</v>
      </c>
      <c r="BT35" s="172" t="s">
        <v>425</v>
      </c>
      <c r="BU35" s="183" t="s">
        <v>175</v>
      </c>
      <c r="BV35" s="193" t="s">
        <v>372</v>
      </c>
      <c r="BW35" s="184">
        <f t="shared" si="33"/>
        <v>9630</v>
      </c>
      <c r="BX35" s="185">
        <v>46035</v>
      </c>
      <c r="BY35" s="186" t="s">
        <v>250</v>
      </c>
      <c r="BZ35" s="182" t="s">
        <v>177</v>
      </c>
    </row>
    <row r="36" spans="1:78" s="2" customFormat="1" ht="63" customHeight="1" outlineLevel="1" x14ac:dyDescent="0.25">
      <c r="A36" s="34">
        <v>32</v>
      </c>
      <c r="B36" s="77">
        <v>11</v>
      </c>
      <c r="C36" s="78">
        <v>241935</v>
      </c>
      <c r="D36" s="78">
        <v>1169231</v>
      </c>
      <c r="E36" s="35" t="s">
        <v>122</v>
      </c>
      <c r="F36" s="36">
        <v>45980</v>
      </c>
      <c r="G36" s="36">
        <f t="shared" si="0"/>
        <v>45979</v>
      </c>
      <c r="H36" s="78" t="s">
        <v>192</v>
      </c>
      <c r="I36" s="78" t="s">
        <v>266</v>
      </c>
      <c r="J36" s="36" t="s">
        <v>161</v>
      </c>
      <c r="K36" s="36" t="s">
        <v>161</v>
      </c>
      <c r="L36" s="36">
        <v>46723</v>
      </c>
      <c r="M36" s="36">
        <f t="shared" ca="1" si="32"/>
        <v>46277</v>
      </c>
      <c r="N36" s="36" t="s">
        <v>262</v>
      </c>
      <c r="O36" s="36" t="str">
        <f t="shared" si="1"/>
        <v/>
      </c>
      <c r="P36" s="207" t="s">
        <v>268</v>
      </c>
      <c r="Q36" s="66">
        <f t="shared" ca="1" si="37"/>
        <v>298</v>
      </c>
      <c r="R36" s="66" t="s">
        <v>269</v>
      </c>
      <c r="S36" s="79" t="s">
        <v>42</v>
      </c>
      <c r="T36" s="37" t="s">
        <v>42</v>
      </c>
      <c r="U36" s="40" t="s">
        <v>126</v>
      </c>
      <c r="V36" s="34" t="s">
        <v>355</v>
      </c>
      <c r="W36" s="40" t="s">
        <v>321</v>
      </c>
      <c r="X36" s="47">
        <f>1700-10</f>
        <v>1690</v>
      </c>
      <c r="Y36" s="47"/>
      <c r="Z36" s="76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f>3-1</f>
        <v>2</v>
      </c>
      <c r="AM36" s="47"/>
      <c r="AN36" s="47">
        <f>3-1</f>
        <v>2</v>
      </c>
      <c r="AO36" s="47"/>
      <c r="AP36" s="47">
        <v>8</v>
      </c>
      <c r="AQ36" s="47"/>
      <c r="AR36" s="47">
        <v>8</v>
      </c>
      <c r="AS36" s="47"/>
      <c r="AT36" s="47">
        <v>2</v>
      </c>
      <c r="AU36" s="47"/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f t="shared" si="2"/>
        <v>98700</v>
      </c>
      <c r="BO36" s="47">
        <f t="shared" si="2"/>
        <v>0</v>
      </c>
      <c r="BP36" s="39" t="s">
        <v>275</v>
      </c>
      <c r="BQ36" s="34" t="s">
        <v>42</v>
      </c>
      <c r="BR36" s="34" t="s">
        <v>42</v>
      </c>
      <c r="BS36" s="34" t="s">
        <v>157</v>
      </c>
      <c r="BT36" s="34" t="s">
        <v>42</v>
      </c>
      <c r="BU36" s="80">
        <v>11</v>
      </c>
      <c r="BV36" s="192"/>
      <c r="BW36" s="67">
        <f t="shared" si="33"/>
        <v>0</v>
      </c>
      <c r="BX36" s="68" t="s">
        <v>156</v>
      </c>
      <c r="BY36" s="153" t="s">
        <v>42</v>
      </c>
      <c r="BZ36" s="39" t="s">
        <v>190</v>
      </c>
    </row>
    <row r="37" spans="1:78" s="2" customFormat="1" ht="63" customHeight="1" outlineLevel="1" x14ac:dyDescent="0.25">
      <c r="A37" s="34">
        <v>33</v>
      </c>
      <c r="B37" s="105" t="s">
        <v>431</v>
      </c>
      <c r="C37" s="106">
        <v>241935</v>
      </c>
      <c r="D37" s="106">
        <v>1169231</v>
      </c>
      <c r="E37" s="107" t="s">
        <v>122</v>
      </c>
      <c r="F37" s="108">
        <v>45980</v>
      </c>
      <c r="G37" s="108">
        <f t="shared" ref="G37" si="40">F37-1</f>
        <v>45979</v>
      </c>
      <c r="H37" s="106" t="s">
        <v>192</v>
      </c>
      <c r="I37" s="106" t="s">
        <v>266</v>
      </c>
      <c r="J37" s="108" t="s">
        <v>161</v>
      </c>
      <c r="K37" s="108" t="s">
        <v>161</v>
      </c>
      <c r="L37" s="108">
        <v>46160</v>
      </c>
      <c r="M37" s="108">
        <v>46204</v>
      </c>
      <c r="N37" s="108" t="s">
        <v>240</v>
      </c>
      <c r="O37" s="112">
        <f t="shared" ref="O37:O39" si="41">IF(N37="Backfilling",30,IF(N37="Reinstatement",20,IF(N37="Shut Down",30,IF(N37="Returned",0,""))))</f>
        <v>30</v>
      </c>
      <c r="P37" s="206" t="s">
        <v>268</v>
      </c>
      <c r="Q37" s="109">
        <f t="shared" ref="Q37" si="42">M37-G37</f>
        <v>225</v>
      </c>
      <c r="R37" s="109" t="s">
        <v>269</v>
      </c>
      <c r="S37" s="110" t="s">
        <v>42</v>
      </c>
      <c r="T37" s="111" t="s">
        <v>42</v>
      </c>
      <c r="U37" s="112" t="s">
        <v>126</v>
      </c>
      <c r="V37" s="104" t="s">
        <v>355</v>
      </c>
      <c r="W37" s="163" t="s">
        <v>321</v>
      </c>
      <c r="X37" s="113">
        <v>10</v>
      </c>
      <c r="Y37" s="113">
        <v>10</v>
      </c>
      <c r="Z37" s="114">
        <v>0</v>
      </c>
      <c r="AA37" s="114">
        <v>0</v>
      </c>
      <c r="AB37" s="113">
        <v>0</v>
      </c>
      <c r="AC37" s="113">
        <v>0</v>
      </c>
      <c r="AD37" s="113">
        <v>0</v>
      </c>
      <c r="AE37" s="113">
        <v>0</v>
      </c>
      <c r="AF37" s="113">
        <v>0</v>
      </c>
      <c r="AG37" s="113">
        <v>0</v>
      </c>
      <c r="AH37" s="113">
        <v>0</v>
      </c>
      <c r="AI37" s="113">
        <v>0</v>
      </c>
      <c r="AJ37" s="113">
        <v>0</v>
      </c>
      <c r="AK37" s="113">
        <v>0</v>
      </c>
      <c r="AL37" s="113">
        <v>1</v>
      </c>
      <c r="AM37" s="113">
        <v>1</v>
      </c>
      <c r="AN37" s="113">
        <v>1</v>
      </c>
      <c r="AO37" s="113">
        <v>1</v>
      </c>
      <c r="AP37" s="113"/>
      <c r="AQ37" s="113"/>
      <c r="AR37" s="113"/>
      <c r="AS37" s="113"/>
      <c r="AT37" s="113"/>
      <c r="AU37" s="113"/>
      <c r="AV37" s="113">
        <v>0</v>
      </c>
      <c r="AW37" s="113">
        <v>0</v>
      </c>
      <c r="AX37" s="113">
        <v>0</v>
      </c>
      <c r="AY37" s="113">
        <v>0</v>
      </c>
      <c r="AZ37" s="113">
        <v>0</v>
      </c>
      <c r="BA37" s="113">
        <v>0</v>
      </c>
      <c r="BB37" s="113">
        <v>0</v>
      </c>
      <c r="BC37" s="113">
        <v>0</v>
      </c>
      <c r="BD37" s="113">
        <v>0</v>
      </c>
      <c r="BE37" s="113">
        <v>0</v>
      </c>
      <c r="BF37" s="113">
        <v>0</v>
      </c>
      <c r="BG37" s="113">
        <v>0</v>
      </c>
      <c r="BH37" s="113">
        <v>0</v>
      </c>
      <c r="BI37" s="113">
        <v>0</v>
      </c>
      <c r="BJ37" s="113">
        <v>0</v>
      </c>
      <c r="BK37" s="113">
        <v>0</v>
      </c>
      <c r="BL37" s="113">
        <v>0</v>
      </c>
      <c r="BM37" s="113">
        <v>0</v>
      </c>
      <c r="BN37" s="113">
        <f t="shared" ref="BN37" si="43">X37*53+Z37*77+AB37*30+AD37*40+AF37*75+AH37*140+AJ37*640+AL37*480+AN37*450+AP37*680+AR37*85+AT37*575+AV37*2+AX37*1.5+AZ37*1800+BB37*900+BD37*1500+BF37*1500+BH37*1500+BJ37*600+BL37*750</f>
        <v>1460</v>
      </c>
      <c r="BO37" s="113">
        <f t="shared" ref="BO37" si="44">Y37*53+AA37*77+AC37*30+AE37*40+AG37*75+AI37*140+AK37*640+AM37*480+AO37*450+AQ37*680+AS37*85+AU37*575+AW37*2+AY37*1.5+BA37*1800+BC37*900+BE37*1500+BG37*1500+BI37*1500+BK37*600+BM37*750</f>
        <v>1460</v>
      </c>
      <c r="BP37" s="115" t="s">
        <v>3</v>
      </c>
      <c r="BQ37" s="104" t="s">
        <v>265</v>
      </c>
      <c r="BR37" s="104" t="s">
        <v>42</v>
      </c>
      <c r="BS37" s="104" t="s">
        <v>157</v>
      </c>
      <c r="BT37" s="104" t="s">
        <v>42</v>
      </c>
      <c r="BU37" s="116" t="s">
        <v>431</v>
      </c>
      <c r="BV37" s="191"/>
      <c r="BW37" s="117"/>
      <c r="BX37" s="134">
        <v>46177</v>
      </c>
      <c r="BY37" s="152" t="s">
        <v>42</v>
      </c>
      <c r="BZ37" s="115" t="s">
        <v>3</v>
      </c>
    </row>
    <row r="38" spans="1:78" s="2" customFormat="1" ht="63" customHeight="1" outlineLevel="1" x14ac:dyDescent="0.25">
      <c r="A38" s="34">
        <v>34</v>
      </c>
      <c r="B38" s="200">
        <v>12</v>
      </c>
      <c r="C38" s="121">
        <v>242008</v>
      </c>
      <c r="D38" s="121">
        <v>1170101</v>
      </c>
      <c r="E38" s="122" t="s">
        <v>129</v>
      </c>
      <c r="F38" s="123">
        <v>45984</v>
      </c>
      <c r="G38" s="123">
        <f t="shared" si="0"/>
        <v>45983</v>
      </c>
      <c r="H38" s="121">
        <v>823951</v>
      </c>
      <c r="I38" s="121" t="s">
        <v>385</v>
      </c>
      <c r="J38" s="123">
        <v>46156</v>
      </c>
      <c r="K38" s="123">
        <v>46310</v>
      </c>
      <c r="L38" s="123">
        <v>46191</v>
      </c>
      <c r="M38" s="123">
        <f t="shared" ca="1" si="32"/>
        <v>46277</v>
      </c>
      <c r="N38" s="123" t="s">
        <v>157</v>
      </c>
      <c r="O38" s="210" t="str">
        <f t="shared" si="1"/>
        <v/>
      </c>
      <c r="P38" s="204" t="s">
        <v>268</v>
      </c>
      <c r="Q38" s="124">
        <f t="shared" ca="1" si="37"/>
        <v>294</v>
      </c>
      <c r="R38" s="124" t="s">
        <v>269</v>
      </c>
      <c r="S38" s="125" t="s">
        <v>42</v>
      </c>
      <c r="T38" s="126" t="s">
        <v>42</v>
      </c>
      <c r="U38" s="127" t="s">
        <v>130</v>
      </c>
      <c r="V38" s="120" t="s">
        <v>353</v>
      </c>
      <c r="W38" s="214" t="s">
        <v>322</v>
      </c>
      <c r="X38" s="128">
        <v>0</v>
      </c>
      <c r="Y38" s="128"/>
      <c r="Z38" s="129">
        <v>0</v>
      </c>
      <c r="AA38" s="128">
        <v>0</v>
      </c>
      <c r="AB38" s="128">
        <v>0</v>
      </c>
      <c r="AC38" s="128">
        <v>0</v>
      </c>
      <c r="AD38" s="128">
        <v>0</v>
      </c>
      <c r="AE38" s="128"/>
      <c r="AF38" s="128">
        <v>0</v>
      </c>
      <c r="AG38" s="128">
        <v>0</v>
      </c>
      <c r="AH38" s="128">
        <v>0</v>
      </c>
      <c r="AI38" s="128">
        <v>0</v>
      </c>
      <c r="AJ38" s="128">
        <v>0</v>
      </c>
      <c r="AK38" s="128">
        <v>0</v>
      </c>
      <c r="AL38" s="128">
        <v>0</v>
      </c>
      <c r="AM38" s="128"/>
      <c r="AN38" s="128">
        <v>0</v>
      </c>
      <c r="AO38" s="128"/>
      <c r="AP38" s="128">
        <v>0</v>
      </c>
      <c r="AQ38" s="128"/>
      <c r="AR38" s="128">
        <v>0</v>
      </c>
      <c r="AS38" s="128"/>
      <c r="AT38" s="128">
        <v>0</v>
      </c>
      <c r="AU38" s="128"/>
      <c r="AV38" s="128">
        <v>0</v>
      </c>
      <c r="AW38" s="128">
        <v>0</v>
      </c>
      <c r="AX38" s="128">
        <v>0</v>
      </c>
      <c r="AY38" s="128">
        <v>0</v>
      </c>
      <c r="AZ38" s="128">
        <v>0</v>
      </c>
      <c r="BA38" s="128">
        <v>0</v>
      </c>
      <c r="BB38" s="128">
        <v>0</v>
      </c>
      <c r="BC38" s="128">
        <v>0</v>
      </c>
      <c r="BD38" s="128">
        <v>0</v>
      </c>
      <c r="BE38" s="128">
        <v>0</v>
      </c>
      <c r="BF38" s="128">
        <v>0</v>
      </c>
      <c r="BG38" s="128">
        <v>0</v>
      </c>
      <c r="BH38" s="128">
        <v>0</v>
      </c>
      <c r="BI38" s="128">
        <v>0</v>
      </c>
      <c r="BJ38" s="128">
        <v>0</v>
      </c>
      <c r="BK38" s="128">
        <v>0</v>
      </c>
      <c r="BL38" s="128">
        <v>0</v>
      </c>
      <c r="BM38" s="128">
        <v>0</v>
      </c>
      <c r="BN38" s="128">
        <f t="shared" si="2"/>
        <v>0</v>
      </c>
      <c r="BO38" s="128">
        <f t="shared" si="2"/>
        <v>0</v>
      </c>
      <c r="BP38" s="133" t="s">
        <v>157</v>
      </c>
      <c r="BQ38" s="120" t="s">
        <v>42</v>
      </c>
      <c r="BR38" s="120" t="s">
        <v>42</v>
      </c>
      <c r="BS38" s="120" t="s">
        <v>157</v>
      </c>
      <c r="BT38" s="120" t="s">
        <v>42</v>
      </c>
      <c r="BU38" s="130">
        <v>12</v>
      </c>
      <c r="BV38" s="190"/>
      <c r="BW38" s="131">
        <f t="shared" si="33"/>
        <v>0</v>
      </c>
      <c r="BX38" s="217" t="s">
        <v>156</v>
      </c>
      <c r="BY38" s="151" t="s">
        <v>42</v>
      </c>
      <c r="BZ38" s="133" t="s">
        <v>190</v>
      </c>
    </row>
    <row r="39" spans="1:78" s="86" customFormat="1" ht="63" customHeight="1" outlineLevel="1" x14ac:dyDescent="0.25">
      <c r="A39" s="34">
        <v>35</v>
      </c>
      <c r="B39" s="232" t="s">
        <v>459</v>
      </c>
      <c r="C39" s="106">
        <v>242008</v>
      </c>
      <c r="D39" s="106">
        <v>1170101</v>
      </c>
      <c r="E39" s="107" t="s">
        <v>129</v>
      </c>
      <c r="F39" s="108">
        <v>45984</v>
      </c>
      <c r="G39" s="108">
        <f t="shared" ref="G39" si="45">F39-1</f>
        <v>45983</v>
      </c>
      <c r="H39" s="106">
        <v>823951</v>
      </c>
      <c r="I39" s="104" t="s">
        <v>385</v>
      </c>
      <c r="J39" s="108">
        <v>46156</v>
      </c>
      <c r="K39" s="108">
        <v>46310</v>
      </c>
      <c r="L39" s="108">
        <v>46191</v>
      </c>
      <c r="M39" s="108">
        <f t="shared" ca="1" si="32"/>
        <v>46277</v>
      </c>
      <c r="N39" s="108" t="s">
        <v>240</v>
      </c>
      <c r="O39" s="112">
        <f t="shared" si="41"/>
        <v>30</v>
      </c>
      <c r="P39" s="206" t="s">
        <v>268</v>
      </c>
      <c r="Q39" s="109">
        <f t="shared" ref="Q39" ca="1" si="46">M39-G39</f>
        <v>294</v>
      </c>
      <c r="R39" s="109" t="s">
        <v>269</v>
      </c>
      <c r="S39" s="110" t="s">
        <v>157</v>
      </c>
      <c r="T39" s="111" t="s">
        <v>42</v>
      </c>
      <c r="U39" s="163" t="s">
        <v>130</v>
      </c>
      <c r="V39" s="104" t="s">
        <v>353</v>
      </c>
      <c r="W39" s="163" t="s">
        <v>322</v>
      </c>
      <c r="X39" s="113">
        <v>238</v>
      </c>
      <c r="Y39" s="113">
        <v>238</v>
      </c>
      <c r="Z39" s="114"/>
      <c r="AA39" s="113"/>
      <c r="AB39" s="113"/>
      <c r="AC39" s="113"/>
      <c r="AD39" s="113">
        <v>236</v>
      </c>
      <c r="AE39" s="113">
        <v>236</v>
      </c>
      <c r="AF39" s="113"/>
      <c r="AG39" s="113"/>
      <c r="AH39" s="113"/>
      <c r="AI39" s="113"/>
      <c r="AJ39" s="113"/>
      <c r="AK39" s="113"/>
      <c r="AL39" s="113">
        <v>0</v>
      </c>
      <c r="AM39" s="113"/>
      <c r="AN39" s="113"/>
      <c r="AO39" s="113">
        <v>0</v>
      </c>
      <c r="AP39" s="113">
        <v>2</v>
      </c>
      <c r="AQ39" s="113">
        <v>2</v>
      </c>
      <c r="AR39" s="113">
        <v>1</v>
      </c>
      <c r="AS39" s="113">
        <v>1</v>
      </c>
      <c r="AT39" s="113">
        <v>0</v>
      </c>
      <c r="AU39" s="113">
        <v>0</v>
      </c>
      <c r="AV39" s="113">
        <v>0</v>
      </c>
      <c r="AW39" s="113">
        <v>0</v>
      </c>
      <c r="AX39" s="113">
        <v>0</v>
      </c>
      <c r="AY39" s="113">
        <v>0</v>
      </c>
      <c r="AZ39" s="113">
        <v>0</v>
      </c>
      <c r="BA39" s="113">
        <v>0</v>
      </c>
      <c r="BB39" s="113">
        <v>0</v>
      </c>
      <c r="BC39" s="113">
        <v>0</v>
      </c>
      <c r="BD39" s="113">
        <v>0</v>
      </c>
      <c r="BE39" s="113">
        <v>0</v>
      </c>
      <c r="BF39" s="113">
        <v>0</v>
      </c>
      <c r="BG39" s="113">
        <v>0</v>
      </c>
      <c r="BH39" s="113">
        <v>0</v>
      </c>
      <c r="BI39" s="113">
        <v>0</v>
      </c>
      <c r="BJ39" s="113">
        <v>0</v>
      </c>
      <c r="BK39" s="113">
        <v>0</v>
      </c>
      <c r="BL39" s="113">
        <v>0</v>
      </c>
      <c r="BM39" s="113">
        <v>0</v>
      </c>
      <c r="BN39" s="113">
        <f t="shared" ref="BN39" si="47">X39*53+Z39*77+AB39*30+AD39*40+AF39*75+AH39*140+AJ39*640+AL39*480+AN39*450+AP39*680+AR39*85+AT39*575+AV39*2+AX39*1.5+AZ39*1800+BB39*900+BD39*1500+BF39*1500+BH39*1500+BJ39*600+BL39*750</f>
        <v>23499</v>
      </c>
      <c r="BO39" s="113">
        <f t="shared" si="2"/>
        <v>23499</v>
      </c>
      <c r="BP39" s="115" t="s">
        <v>3</v>
      </c>
      <c r="BQ39" s="104" t="s">
        <v>42</v>
      </c>
      <c r="BR39" s="104" t="s">
        <v>42</v>
      </c>
      <c r="BS39" s="104" t="s">
        <v>157</v>
      </c>
      <c r="BT39" s="104" t="s">
        <v>42</v>
      </c>
      <c r="BU39" s="116" t="s">
        <v>459</v>
      </c>
      <c r="BV39" s="191"/>
      <c r="BW39" s="117"/>
      <c r="BX39" s="118">
        <v>46246</v>
      </c>
      <c r="BY39" s="152" t="s">
        <v>42</v>
      </c>
      <c r="BZ39" s="115" t="s">
        <v>244</v>
      </c>
    </row>
    <row r="40" spans="1:78" s="2" customFormat="1" ht="63" customHeight="1" outlineLevel="1" x14ac:dyDescent="0.25">
      <c r="A40" s="34">
        <v>36</v>
      </c>
      <c r="B40" s="102">
        <v>13</v>
      </c>
      <c r="C40" s="89">
        <v>242009</v>
      </c>
      <c r="D40" s="89">
        <v>1170103</v>
      </c>
      <c r="E40" s="90" t="s">
        <v>131</v>
      </c>
      <c r="F40" s="91">
        <v>45984</v>
      </c>
      <c r="G40" s="91">
        <f t="shared" si="0"/>
        <v>45983</v>
      </c>
      <c r="H40" s="89" t="s">
        <v>116</v>
      </c>
      <c r="I40" s="89" t="s">
        <v>276</v>
      </c>
      <c r="J40" s="91" t="s">
        <v>116</v>
      </c>
      <c r="K40" s="91" t="s">
        <v>116</v>
      </c>
      <c r="L40" s="91">
        <v>46160</v>
      </c>
      <c r="M40" s="91">
        <f t="shared" ca="1" si="32"/>
        <v>46277</v>
      </c>
      <c r="N40" s="91" t="s">
        <v>358</v>
      </c>
      <c r="O40" s="168">
        <f t="shared" si="1"/>
        <v>0</v>
      </c>
      <c r="P40" s="203" t="s">
        <v>268</v>
      </c>
      <c r="Q40" s="92">
        <f t="shared" ca="1" si="37"/>
        <v>294</v>
      </c>
      <c r="R40" s="92" t="s">
        <v>269</v>
      </c>
      <c r="S40" s="93" t="s">
        <v>42</v>
      </c>
      <c r="T40" s="94" t="s">
        <v>42</v>
      </c>
      <c r="U40" s="95" t="s">
        <v>132</v>
      </c>
      <c r="V40" s="87" t="s">
        <v>354</v>
      </c>
      <c r="W40" s="164" t="s">
        <v>323</v>
      </c>
      <c r="X40" s="96">
        <v>0</v>
      </c>
      <c r="Y40" s="96"/>
      <c r="Z40" s="97">
        <v>0</v>
      </c>
      <c r="AA40" s="96">
        <v>0</v>
      </c>
      <c r="AB40" s="96">
        <v>0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  <c r="AJ40" s="96">
        <v>0</v>
      </c>
      <c r="AK40" s="96">
        <v>0</v>
      </c>
      <c r="AL40" s="96">
        <v>0</v>
      </c>
      <c r="AM40" s="96">
        <v>0</v>
      </c>
      <c r="AN40" s="96">
        <v>0</v>
      </c>
      <c r="AO40" s="96">
        <v>0</v>
      </c>
      <c r="AP40" s="96">
        <v>0</v>
      </c>
      <c r="AQ40" s="96"/>
      <c r="AR40" s="96">
        <v>0</v>
      </c>
      <c r="AS40" s="96"/>
      <c r="AT40" s="96">
        <v>0</v>
      </c>
      <c r="AU40" s="96"/>
      <c r="AV40" s="96">
        <v>0</v>
      </c>
      <c r="AW40" s="96">
        <v>0</v>
      </c>
      <c r="AX40" s="96">
        <v>0</v>
      </c>
      <c r="AY40" s="96">
        <v>0</v>
      </c>
      <c r="AZ40" s="96">
        <v>0</v>
      </c>
      <c r="BA40" s="96">
        <v>0</v>
      </c>
      <c r="BB40" s="96">
        <v>0</v>
      </c>
      <c r="BC40" s="96">
        <v>0</v>
      </c>
      <c r="BD40" s="96">
        <v>0</v>
      </c>
      <c r="BE40" s="96">
        <v>0</v>
      </c>
      <c r="BF40" s="96">
        <v>0</v>
      </c>
      <c r="BG40" s="96">
        <v>0</v>
      </c>
      <c r="BH40" s="96">
        <v>0</v>
      </c>
      <c r="BI40" s="96">
        <v>0</v>
      </c>
      <c r="BJ40" s="96">
        <v>0</v>
      </c>
      <c r="BK40" s="96">
        <v>0</v>
      </c>
      <c r="BL40" s="96">
        <v>0</v>
      </c>
      <c r="BM40" s="96">
        <v>0</v>
      </c>
      <c r="BN40" s="96">
        <f t="shared" si="2"/>
        <v>0</v>
      </c>
      <c r="BO40" s="96">
        <f t="shared" si="2"/>
        <v>0</v>
      </c>
      <c r="BP40" s="98" t="s">
        <v>116</v>
      </c>
      <c r="BQ40" s="87" t="s">
        <v>116</v>
      </c>
      <c r="BR40" s="87" t="s">
        <v>116</v>
      </c>
      <c r="BS40" s="87" t="s">
        <v>265</v>
      </c>
      <c r="BT40" s="87" t="s">
        <v>116</v>
      </c>
      <c r="BU40" s="99">
        <v>13</v>
      </c>
      <c r="BV40" s="189"/>
      <c r="BW40" s="135">
        <f t="shared" si="33"/>
        <v>0</v>
      </c>
      <c r="BX40" s="103" t="s">
        <v>161</v>
      </c>
      <c r="BY40" s="150" t="s">
        <v>265</v>
      </c>
      <c r="BZ40" s="98" t="s">
        <v>116</v>
      </c>
    </row>
    <row r="41" spans="1:78" s="2" customFormat="1" ht="63" customHeight="1" outlineLevel="1" x14ac:dyDescent="0.25">
      <c r="A41" s="34">
        <v>37</v>
      </c>
      <c r="B41" s="172" t="s">
        <v>195</v>
      </c>
      <c r="C41" s="173">
        <v>242010</v>
      </c>
      <c r="D41" s="173">
        <v>1170107</v>
      </c>
      <c r="E41" s="174" t="s">
        <v>133</v>
      </c>
      <c r="F41" s="175">
        <v>45984</v>
      </c>
      <c r="G41" s="175">
        <f t="shared" si="0"/>
        <v>45983</v>
      </c>
      <c r="H41" s="173" t="s">
        <v>193</v>
      </c>
      <c r="I41" s="173" t="s">
        <v>385</v>
      </c>
      <c r="J41" s="175">
        <v>46004</v>
      </c>
      <c r="K41" s="175">
        <v>46184</v>
      </c>
      <c r="L41" s="175">
        <v>46164</v>
      </c>
      <c r="M41" s="175">
        <v>46117</v>
      </c>
      <c r="N41" s="175" t="s">
        <v>240</v>
      </c>
      <c r="O41" s="179">
        <f t="shared" si="1"/>
        <v>30</v>
      </c>
      <c r="P41" s="205" t="s">
        <v>268</v>
      </c>
      <c r="Q41" s="176">
        <f t="shared" si="37"/>
        <v>134</v>
      </c>
      <c r="R41" s="176" t="s">
        <v>269</v>
      </c>
      <c r="S41" s="177" t="s">
        <v>177</v>
      </c>
      <c r="T41" s="178" t="s">
        <v>261</v>
      </c>
      <c r="U41" s="179" t="s">
        <v>134</v>
      </c>
      <c r="V41" s="175" t="s">
        <v>291</v>
      </c>
      <c r="W41" s="179" t="s">
        <v>316</v>
      </c>
      <c r="X41" s="180">
        <v>416.13</v>
      </c>
      <c r="Y41" s="180">
        <v>416.13</v>
      </c>
      <c r="Z41" s="181">
        <v>0</v>
      </c>
      <c r="AA41" s="180">
        <v>0</v>
      </c>
      <c r="AB41" s="180">
        <v>0</v>
      </c>
      <c r="AC41" s="180">
        <v>0</v>
      </c>
      <c r="AD41" s="180">
        <f>142+151</f>
        <v>293</v>
      </c>
      <c r="AE41" s="180">
        <f>142+151</f>
        <v>293</v>
      </c>
      <c r="AF41" s="180">
        <v>95</v>
      </c>
      <c r="AG41" s="180">
        <v>95</v>
      </c>
      <c r="AH41" s="180">
        <v>0</v>
      </c>
      <c r="AI41" s="180">
        <v>0</v>
      </c>
      <c r="AJ41" s="180">
        <v>0</v>
      </c>
      <c r="AK41" s="180">
        <v>0</v>
      </c>
      <c r="AL41" s="180">
        <v>1</v>
      </c>
      <c r="AM41" s="180">
        <v>1</v>
      </c>
      <c r="AN41" s="180">
        <v>1</v>
      </c>
      <c r="AO41" s="180">
        <v>1</v>
      </c>
      <c r="AP41" s="180">
        <v>2</v>
      </c>
      <c r="AQ41" s="180">
        <v>2</v>
      </c>
      <c r="AR41" s="180">
        <v>2</v>
      </c>
      <c r="AS41" s="180">
        <v>2</v>
      </c>
      <c r="AT41" s="180">
        <v>1</v>
      </c>
      <c r="AU41" s="180">
        <v>1</v>
      </c>
      <c r="AV41" s="180">
        <v>0</v>
      </c>
      <c r="AW41" s="180">
        <v>0</v>
      </c>
      <c r="AX41" s="180">
        <v>0</v>
      </c>
      <c r="AY41" s="180">
        <v>0</v>
      </c>
      <c r="AZ41" s="180">
        <v>0</v>
      </c>
      <c r="BA41" s="180">
        <v>0</v>
      </c>
      <c r="BB41" s="180">
        <v>0</v>
      </c>
      <c r="BC41" s="180">
        <v>0</v>
      </c>
      <c r="BD41" s="180">
        <v>0</v>
      </c>
      <c r="BE41" s="180">
        <v>0</v>
      </c>
      <c r="BF41" s="180">
        <v>0</v>
      </c>
      <c r="BG41" s="180">
        <v>0</v>
      </c>
      <c r="BH41" s="180">
        <v>0</v>
      </c>
      <c r="BI41" s="180">
        <v>0</v>
      </c>
      <c r="BJ41" s="180">
        <v>0</v>
      </c>
      <c r="BK41" s="180">
        <v>0</v>
      </c>
      <c r="BL41" s="180">
        <v>0</v>
      </c>
      <c r="BM41" s="180">
        <v>0</v>
      </c>
      <c r="BN41" s="180">
        <f t="shared" ref="BN41" si="48">X41*53+Z41*77+AB41*30+AD41*40+AF41*75+AH41*140+AJ41*640+AL41*480+AN41*450+AP41*680+AR41*85+AT41*575+AV41*2+AX41*1.5+AZ41*1800+BB41*900+BD41*1500+BF41*1500+BH41*1500+BJ41*600+BL41*750</f>
        <v>43934.89</v>
      </c>
      <c r="BO41" s="180">
        <f t="shared" ref="BO41" si="49">Y41*53+AA41*77+AC41*30+AE41*40+AG41*75+AI41*140+AK41*640+AM41*480+AO41*450+AQ41*680+AS41*85+AU41*575+AW41*2+AY41*1.5+BA41*1800+BC41*900+BE41*1500+BG41*1500+BI41*1500+BK41*600+BM41*750</f>
        <v>43934.89</v>
      </c>
      <c r="BP41" s="177" t="s">
        <v>177</v>
      </c>
      <c r="BQ41" s="172" t="s">
        <v>270</v>
      </c>
      <c r="BR41" s="172" t="s">
        <v>177</v>
      </c>
      <c r="BS41" s="172" t="s">
        <v>250</v>
      </c>
      <c r="BT41" s="172" t="s">
        <v>411</v>
      </c>
      <c r="BU41" s="183" t="s">
        <v>195</v>
      </c>
      <c r="BV41" s="193" t="s">
        <v>379</v>
      </c>
      <c r="BW41" s="184">
        <f t="shared" si="33"/>
        <v>43934.89</v>
      </c>
      <c r="BX41" s="185">
        <v>46050</v>
      </c>
      <c r="BY41" s="186" t="s">
        <v>250</v>
      </c>
      <c r="BZ41" s="182" t="s">
        <v>177</v>
      </c>
    </row>
    <row r="42" spans="1:78" s="2" customFormat="1" ht="63" customHeight="1" outlineLevel="1" x14ac:dyDescent="0.25">
      <c r="A42" s="34">
        <v>38</v>
      </c>
      <c r="B42" s="172" t="s">
        <v>160</v>
      </c>
      <c r="C42" s="173">
        <v>242011</v>
      </c>
      <c r="D42" s="173">
        <v>1170110</v>
      </c>
      <c r="E42" s="174" t="s">
        <v>135</v>
      </c>
      <c r="F42" s="175">
        <v>45984</v>
      </c>
      <c r="G42" s="175">
        <f t="shared" si="0"/>
        <v>45983</v>
      </c>
      <c r="H42" s="173">
        <v>809997</v>
      </c>
      <c r="I42" s="173" t="s">
        <v>385</v>
      </c>
      <c r="J42" s="175">
        <v>46004</v>
      </c>
      <c r="K42" s="175">
        <v>46184</v>
      </c>
      <c r="L42" s="175">
        <v>46164</v>
      </c>
      <c r="M42" s="175">
        <v>46096</v>
      </c>
      <c r="N42" s="175" t="s">
        <v>267</v>
      </c>
      <c r="O42" s="179">
        <f t="shared" si="1"/>
        <v>30</v>
      </c>
      <c r="P42" s="205" t="s">
        <v>268</v>
      </c>
      <c r="Q42" s="176">
        <f t="shared" si="37"/>
        <v>113</v>
      </c>
      <c r="R42" s="176" t="s">
        <v>269</v>
      </c>
      <c r="S42" s="177" t="s">
        <v>177</v>
      </c>
      <c r="T42" s="178" t="s">
        <v>265</v>
      </c>
      <c r="U42" s="179" t="s">
        <v>136</v>
      </c>
      <c r="V42" s="175" t="s">
        <v>353</v>
      </c>
      <c r="W42" s="179" t="s">
        <v>322</v>
      </c>
      <c r="X42" s="180">
        <v>470.88</v>
      </c>
      <c r="Y42" s="180">
        <v>470.88</v>
      </c>
      <c r="Z42" s="181">
        <v>0</v>
      </c>
      <c r="AA42" s="180">
        <v>0</v>
      </c>
      <c r="AB42" s="180">
        <v>0</v>
      </c>
      <c r="AC42" s="180">
        <v>0</v>
      </c>
      <c r="AD42" s="180">
        <v>10</v>
      </c>
      <c r="AE42" s="180">
        <v>10</v>
      </c>
      <c r="AF42" s="180">
        <v>0</v>
      </c>
      <c r="AG42" s="180">
        <v>0</v>
      </c>
      <c r="AH42" s="180">
        <v>0</v>
      </c>
      <c r="AI42" s="180">
        <v>0</v>
      </c>
      <c r="AJ42" s="180">
        <v>0</v>
      </c>
      <c r="AK42" s="180">
        <v>0</v>
      </c>
      <c r="AL42" s="180">
        <v>0</v>
      </c>
      <c r="AM42" s="180">
        <v>0</v>
      </c>
      <c r="AN42" s="180">
        <v>0</v>
      </c>
      <c r="AO42" s="180">
        <v>0</v>
      </c>
      <c r="AP42" s="180">
        <v>5</v>
      </c>
      <c r="AQ42" s="180">
        <v>5</v>
      </c>
      <c r="AR42" s="180">
        <v>5</v>
      </c>
      <c r="AS42" s="180">
        <v>5</v>
      </c>
      <c r="AT42" s="180">
        <v>3</v>
      </c>
      <c r="AU42" s="180">
        <v>3</v>
      </c>
      <c r="AV42" s="180">
        <v>0</v>
      </c>
      <c r="AW42" s="180">
        <v>0</v>
      </c>
      <c r="AX42" s="180">
        <v>0</v>
      </c>
      <c r="AY42" s="180">
        <v>0</v>
      </c>
      <c r="AZ42" s="180">
        <v>0</v>
      </c>
      <c r="BA42" s="180">
        <v>0</v>
      </c>
      <c r="BB42" s="180">
        <v>0</v>
      </c>
      <c r="BC42" s="180">
        <v>0</v>
      </c>
      <c r="BD42" s="180">
        <v>0</v>
      </c>
      <c r="BE42" s="180">
        <v>0</v>
      </c>
      <c r="BF42" s="180">
        <v>0</v>
      </c>
      <c r="BG42" s="180">
        <v>0</v>
      </c>
      <c r="BH42" s="180">
        <v>0</v>
      </c>
      <c r="BI42" s="180">
        <v>0</v>
      </c>
      <c r="BJ42" s="180">
        <v>0</v>
      </c>
      <c r="BK42" s="180">
        <v>0</v>
      </c>
      <c r="BL42" s="180">
        <v>0</v>
      </c>
      <c r="BM42" s="180">
        <v>0</v>
      </c>
      <c r="BN42" s="180">
        <f t="shared" si="2"/>
        <v>30906.639999999999</v>
      </c>
      <c r="BO42" s="180">
        <f t="shared" si="2"/>
        <v>30906.639999999999</v>
      </c>
      <c r="BP42" s="177" t="s">
        <v>177</v>
      </c>
      <c r="BQ42" s="172" t="s">
        <v>270</v>
      </c>
      <c r="BR42" s="172" t="s">
        <v>177</v>
      </c>
      <c r="BS42" s="172" t="s">
        <v>250</v>
      </c>
      <c r="BT42" s="172" t="s">
        <v>389</v>
      </c>
      <c r="BU42" s="183" t="s">
        <v>160</v>
      </c>
      <c r="BV42" s="193" t="s">
        <v>371</v>
      </c>
      <c r="BW42" s="184">
        <f t="shared" si="33"/>
        <v>30906.639999999999</v>
      </c>
      <c r="BX42" s="185">
        <v>46014</v>
      </c>
      <c r="BY42" s="186" t="s">
        <v>250</v>
      </c>
      <c r="BZ42" s="182" t="s">
        <v>177</v>
      </c>
    </row>
    <row r="43" spans="1:78" s="2" customFormat="1" ht="63" customHeight="1" outlineLevel="1" x14ac:dyDescent="0.25">
      <c r="A43" s="34">
        <v>39</v>
      </c>
      <c r="B43" s="102">
        <v>16</v>
      </c>
      <c r="C43" s="89">
        <v>242148</v>
      </c>
      <c r="D43" s="89">
        <v>1171682</v>
      </c>
      <c r="E43" s="90" t="s">
        <v>138</v>
      </c>
      <c r="F43" s="91">
        <v>45986</v>
      </c>
      <c r="G43" s="91">
        <f t="shared" si="0"/>
        <v>45985</v>
      </c>
      <c r="H43" s="89" t="s">
        <v>191</v>
      </c>
      <c r="I43" s="89" t="s">
        <v>276</v>
      </c>
      <c r="J43" s="91" t="s">
        <v>191</v>
      </c>
      <c r="K43" s="91" t="s">
        <v>191</v>
      </c>
      <c r="L43" s="91">
        <v>46165</v>
      </c>
      <c r="M43" s="91">
        <f t="shared" ca="1" si="32"/>
        <v>46277</v>
      </c>
      <c r="N43" s="91" t="s">
        <v>358</v>
      </c>
      <c r="O43" s="168">
        <f t="shared" si="1"/>
        <v>0</v>
      </c>
      <c r="P43" s="203" t="s">
        <v>268</v>
      </c>
      <c r="Q43" s="92">
        <f t="shared" ca="1" si="37"/>
        <v>292</v>
      </c>
      <c r="R43" s="92" t="s">
        <v>269</v>
      </c>
      <c r="S43" s="93" t="s">
        <v>116</v>
      </c>
      <c r="T43" s="94" t="s">
        <v>116</v>
      </c>
      <c r="U43" s="95" t="s">
        <v>139</v>
      </c>
      <c r="V43" s="87" t="s">
        <v>352</v>
      </c>
      <c r="W43" s="164" t="s">
        <v>319</v>
      </c>
      <c r="X43" s="96">
        <v>0</v>
      </c>
      <c r="Y43" s="96"/>
      <c r="Z43" s="97">
        <v>0</v>
      </c>
      <c r="AA43" s="96">
        <v>0</v>
      </c>
      <c r="AB43" s="96">
        <v>0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  <c r="AJ43" s="96">
        <v>0</v>
      </c>
      <c r="AK43" s="96">
        <v>0</v>
      </c>
      <c r="AL43" s="96">
        <v>0</v>
      </c>
      <c r="AM43" s="96">
        <v>0</v>
      </c>
      <c r="AN43" s="96">
        <v>0</v>
      </c>
      <c r="AO43" s="96">
        <v>0</v>
      </c>
      <c r="AP43" s="96">
        <v>0</v>
      </c>
      <c r="AQ43" s="96"/>
      <c r="AR43" s="96">
        <v>0</v>
      </c>
      <c r="AS43" s="96"/>
      <c r="AT43" s="96">
        <v>0</v>
      </c>
      <c r="AU43" s="96"/>
      <c r="AV43" s="96">
        <v>0</v>
      </c>
      <c r="AW43" s="96">
        <v>0</v>
      </c>
      <c r="AX43" s="96">
        <v>0</v>
      </c>
      <c r="AY43" s="96">
        <v>0</v>
      </c>
      <c r="AZ43" s="96">
        <v>0</v>
      </c>
      <c r="BA43" s="96">
        <v>0</v>
      </c>
      <c r="BB43" s="96">
        <v>0</v>
      </c>
      <c r="BC43" s="96">
        <v>0</v>
      </c>
      <c r="BD43" s="96">
        <v>0</v>
      </c>
      <c r="BE43" s="96">
        <v>0</v>
      </c>
      <c r="BF43" s="96">
        <v>0</v>
      </c>
      <c r="BG43" s="96">
        <v>0</v>
      </c>
      <c r="BH43" s="96">
        <v>0</v>
      </c>
      <c r="BI43" s="96">
        <v>0</v>
      </c>
      <c r="BJ43" s="96">
        <v>0</v>
      </c>
      <c r="BK43" s="96">
        <v>0</v>
      </c>
      <c r="BL43" s="96">
        <v>0</v>
      </c>
      <c r="BM43" s="96">
        <v>0</v>
      </c>
      <c r="BN43" s="96">
        <v>0</v>
      </c>
      <c r="BO43" s="96">
        <f t="shared" si="2"/>
        <v>0</v>
      </c>
      <c r="BP43" s="98" t="s">
        <v>116</v>
      </c>
      <c r="BQ43" s="87" t="s">
        <v>116</v>
      </c>
      <c r="BR43" s="87" t="s">
        <v>116</v>
      </c>
      <c r="BS43" s="87" t="s">
        <v>265</v>
      </c>
      <c r="BT43" s="87" t="s">
        <v>116</v>
      </c>
      <c r="BU43" s="99">
        <v>16</v>
      </c>
      <c r="BV43" s="189"/>
      <c r="BW43" s="135">
        <f t="shared" si="33"/>
        <v>0</v>
      </c>
      <c r="BX43" s="103" t="s">
        <v>161</v>
      </c>
      <c r="BY43" s="150" t="s">
        <v>265</v>
      </c>
      <c r="BZ43" s="98" t="s">
        <v>116</v>
      </c>
    </row>
    <row r="44" spans="1:78" s="2" customFormat="1" ht="63" customHeight="1" outlineLevel="1" x14ac:dyDescent="0.25">
      <c r="A44" s="34">
        <v>40</v>
      </c>
      <c r="B44" s="172" t="s">
        <v>189</v>
      </c>
      <c r="C44" s="173">
        <v>242152</v>
      </c>
      <c r="D44" s="173">
        <v>1171691</v>
      </c>
      <c r="E44" s="174" t="s">
        <v>152</v>
      </c>
      <c r="F44" s="175">
        <v>45986</v>
      </c>
      <c r="G44" s="175">
        <f t="shared" si="0"/>
        <v>45985</v>
      </c>
      <c r="H44" s="173">
        <v>812610</v>
      </c>
      <c r="I44" s="173" t="s">
        <v>385</v>
      </c>
      <c r="J44" s="175">
        <v>46041</v>
      </c>
      <c r="K44" s="175">
        <v>46205</v>
      </c>
      <c r="L44" s="175">
        <v>46166</v>
      </c>
      <c r="M44" s="175">
        <v>46126</v>
      </c>
      <c r="N44" s="175" t="s">
        <v>240</v>
      </c>
      <c r="O44" s="179">
        <f t="shared" si="1"/>
        <v>30</v>
      </c>
      <c r="P44" s="205" t="s">
        <v>268</v>
      </c>
      <c r="Q44" s="176">
        <f t="shared" si="37"/>
        <v>141</v>
      </c>
      <c r="R44" s="176" t="s">
        <v>269</v>
      </c>
      <c r="S44" s="177" t="s">
        <v>177</v>
      </c>
      <c r="T44" s="178" t="s">
        <v>265</v>
      </c>
      <c r="U44" s="179" t="s">
        <v>140</v>
      </c>
      <c r="V44" s="175" t="s">
        <v>291</v>
      </c>
      <c r="W44" s="179" t="s">
        <v>316</v>
      </c>
      <c r="X44" s="180">
        <v>40</v>
      </c>
      <c r="Y44" s="180">
        <v>40</v>
      </c>
      <c r="Z44" s="181">
        <v>0</v>
      </c>
      <c r="AA44" s="180">
        <v>0</v>
      </c>
      <c r="AB44" s="180">
        <v>0</v>
      </c>
      <c r="AC44" s="180">
        <v>0</v>
      </c>
      <c r="AD44" s="180"/>
      <c r="AE44" s="180"/>
      <c r="AF44" s="180">
        <v>0</v>
      </c>
      <c r="AG44" s="180">
        <v>0</v>
      </c>
      <c r="AH44" s="180">
        <v>0</v>
      </c>
      <c r="AI44" s="180">
        <v>0</v>
      </c>
      <c r="AJ44" s="180">
        <v>0</v>
      </c>
      <c r="AK44" s="180">
        <v>0</v>
      </c>
      <c r="AL44" s="180">
        <f>1</f>
        <v>1</v>
      </c>
      <c r="AM44" s="180">
        <f>1</f>
        <v>1</v>
      </c>
      <c r="AN44" s="180">
        <f>1</f>
        <v>1</v>
      </c>
      <c r="AO44" s="180">
        <f>1</f>
        <v>1</v>
      </c>
      <c r="AP44" s="180">
        <f>3+1+2+2+2+3</f>
        <v>13</v>
      </c>
      <c r="AQ44" s="180">
        <f>3+1+2+2+2+3</f>
        <v>13</v>
      </c>
      <c r="AR44" s="180">
        <f>3+1+2+2+2+2</f>
        <v>12</v>
      </c>
      <c r="AS44" s="180">
        <f>3+1+2+2+2+2</f>
        <v>12</v>
      </c>
      <c r="AT44" s="180">
        <f>2+1+1</f>
        <v>4</v>
      </c>
      <c r="AU44" s="180">
        <f>2+1+1</f>
        <v>4</v>
      </c>
      <c r="AV44" s="180">
        <v>0</v>
      </c>
      <c r="AW44" s="180">
        <v>0</v>
      </c>
      <c r="AX44" s="180">
        <v>0</v>
      </c>
      <c r="AY44" s="180">
        <v>0</v>
      </c>
      <c r="AZ44" s="180">
        <v>0</v>
      </c>
      <c r="BA44" s="180">
        <v>0</v>
      </c>
      <c r="BB44" s="180">
        <v>0</v>
      </c>
      <c r="BC44" s="180">
        <v>0</v>
      </c>
      <c r="BD44" s="180">
        <v>0</v>
      </c>
      <c r="BE44" s="180">
        <v>0</v>
      </c>
      <c r="BF44" s="180">
        <v>0</v>
      </c>
      <c r="BG44" s="180">
        <v>0</v>
      </c>
      <c r="BH44" s="180">
        <v>0</v>
      </c>
      <c r="BI44" s="180">
        <v>0</v>
      </c>
      <c r="BJ44" s="180">
        <v>0</v>
      </c>
      <c r="BK44" s="180">
        <v>0</v>
      </c>
      <c r="BL44" s="180">
        <v>0</v>
      </c>
      <c r="BM44" s="180">
        <v>0</v>
      </c>
      <c r="BN44" s="180">
        <f>X44*53+Z44*77+AB44*30+AD44*40+AF44*75+AH44*140+AJ44*640+AL44*480+AN44*450+AP44*680+AR44*85+AT44*575+AV44*2+AX44*1.5+AZ44*1800+BB44*900+BD44*1500+BF44*1500+BH44*1500+BJ44*600+BL44*750</f>
        <v>15210</v>
      </c>
      <c r="BO44" s="180">
        <f t="shared" ref="BO44" si="50">Y44*53+AA44*77+AC44*30+AE44*40+AG44*75+AI44*140+AK44*640+AM44*480+AO44*450+AQ44*680+AS44*85+AU44*575+AW44*2+AY44*1.5+BA44*1800+BC44*900+BE44*1500+BG44*1500+BI44*1500+BK44*600+BM44*750</f>
        <v>15210</v>
      </c>
      <c r="BP44" s="177" t="s">
        <v>177</v>
      </c>
      <c r="BQ44" s="172" t="s">
        <v>265</v>
      </c>
      <c r="BR44" s="172" t="s">
        <v>177</v>
      </c>
      <c r="BS44" s="172" t="s">
        <v>250</v>
      </c>
      <c r="BT44" s="172" t="s">
        <v>425</v>
      </c>
      <c r="BU44" s="183" t="s">
        <v>189</v>
      </c>
      <c r="BV44" s="193"/>
      <c r="BW44" s="184">
        <f t="shared" si="33"/>
        <v>15210</v>
      </c>
      <c r="BX44" s="185">
        <v>46113</v>
      </c>
      <c r="BY44" s="186" t="s">
        <v>250</v>
      </c>
      <c r="BZ44" s="182" t="s">
        <v>177</v>
      </c>
    </row>
    <row r="45" spans="1:78" s="86" customFormat="1" ht="63" customHeight="1" outlineLevel="1" x14ac:dyDescent="0.25">
      <c r="A45" s="34">
        <v>41</v>
      </c>
      <c r="B45" s="34">
        <v>18</v>
      </c>
      <c r="C45" s="78">
        <v>242155</v>
      </c>
      <c r="D45" s="78">
        <v>1171696</v>
      </c>
      <c r="E45" s="35" t="s">
        <v>141</v>
      </c>
      <c r="F45" s="36">
        <v>45986</v>
      </c>
      <c r="G45" s="36">
        <f t="shared" si="0"/>
        <v>45985</v>
      </c>
      <c r="H45" s="78" t="s">
        <v>42</v>
      </c>
      <c r="I45" s="78" t="s">
        <v>42</v>
      </c>
      <c r="J45" s="36" t="s">
        <v>42</v>
      </c>
      <c r="K45" s="36" t="s">
        <v>42</v>
      </c>
      <c r="L45" s="36">
        <v>46166</v>
      </c>
      <c r="M45" s="36">
        <f t="shared" ca="1" si="32"/>
        <v>46277</v>
      </c>
      <c r="N45" s="36" t="s">
        <v>262</v>
      </c>
      <c r="O45" s="169" t="str">
        <f t="shared" si="1"/>
        <v/>
      </c>
      <c r="P45" s="207" t="s">
        <v>268</v>
      </c>
      <c r="Q45" s="66">
        <f t="shared" ca="1" si="37"/>
        <v>292</v>
      </c>
      <c r="R45" s="66" t="s">
        <v>269</v>
      </c>
      <c r="S45" s="79" t="s">
        <v>42</v>
      </c>
      <c r="T45" s="37" t="s">
        <v>265</v>
      </c>
      <c r="U45" s="38" t="s">
        <v>142</v>
      </c>
      <c r="V45" s="36" t="s">
        <v>292</v>
      </c>
      <c r="W45" s="38" t="s">
        <v>324</v>
      </c>
      <c r="X45" s="47"/>
      <c r="Y45" s="47"/>
      <c r="Z45" s="76">
        <v>0</v>
      </c>
      <c r="AA45" s="47">
        <v>0</v>
      </c>
      <c r="AB45" s="47">
        <v>0</v>
      </c>
      <c r="AC45" s="47">
        <v>0</v>
      </c>
      <c r="AD45" s="47">
        <v>25</v>
      </c>
      <c r="AE45" s="47"/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f>15-9</f>
        <v>6</v>
      </c>
      <c r="AQ45" s="47"/>
      <c r="AR45" s="47">
        <f>15-9</f>
        <v>6</v>
      </c>
      <c r="AS45" s="47"/>
      <c r="AT45" s="47">
        <f>11-3</f>
        <v>8</v>
      </c>
      <c r="AU45" s="47"/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f>X45*53+Z45*77+AB45*30+AD45*40+AF45*75+AH45*140+AJ45*640+AL45*480+AN45*450+AP45*680+AR45*85+AT45*575+AV45*2+AX45*1.5+AZ45*1800+BB45*900+BD45*1500+BF45*1500+BH45*1500+BJ45*600+BL45*750</f>
        <v>10190</v>
      </c>
      <c r="BO45" s="47">
        <f t="shared" si="2"/>
        <v>0</v>
      </c>
      <c r="BP45" s="39" t="s">
        <v>275</v>
      </c>
      <c r="BQ45" s="34" t="s">
        <v>42</v>
      </c>
      <c r="BR45" s="34" t="s">
        <v>42</v>
      </c>
      <c r="BS45" s="34" t="s">
        <v>157</v>
      </c>
      <c r="BT45" s="34" t="s">
        <v>42</v>
      </c>
      <c r="BU45" s="80">
        <v>18</v>
      </c>
      <c r="BV45" s="192"/>
      <c r="BW45" s="67">
        <f t="shared" si="33"/>
        <v>0</v>
      </c>
      <c r="BX45" s="81" t="s">
        <v>156</v>
      </c>
      <c r="BY45" s="153" t="s">
        <v>42</v>
      </c>
      <c r="BZ45" s="39" t="s">
        <v>190</v>
      </c>
    </row>
    <row r="46" spans="1:78" s="2" customFormat="1" ht="63" customHeight="1" outlineLevel="1" x14ac:dyDescent="0.25">
      <c r="A46" s="34">
        <v>42</v>
      </c>
      <c r="B46" s="172" t="s">
        <v>176</v>
      </c>
      <c r="C46" s="173">
        <v>242155</v>
      </c>
      <c r="D46" s="173">
        <v>1171696</v>
      </c>
      <c r="E46" s="174" t="s">
        <v>141</v>
      </c>
      <c r="F46" s="175">
        <v>45986</v>
      </c>
      <c r="G46" s="175">
        <f t="shared" si="0"/>
        <v>45985</v>
      </c>
      <c r="H46" s="173" t="s">
        <v>42</v>
      </c>
      <c r="I46" s="173" t="s">
        <v>385</v>
      </c>
      <c r="J46" s="175" t="s">
        <v>42</v>
      </c>
      <c r="K46" s="175" t="s">
        <v>42</v>
      </c>
      <c r="L46" s="175">
        <v>46166</v>
      </c>
      <c r="M46" s="175">
        <v>46058</v>
      </c>
      <c r="N46" s="175" t="s">
        <v>267</v>
      </c>
      <c r="O46" s="179">
        <f t="shared" si="1"/>
        <v>30</v>
      </c>
      <c r="P46" s="205" t="s">
        <v>268</v>
      </c>
      <c r="Q46" s="176">
        <f t="shared" si="37"/>
        <v>73</v>
      </c>
      <c r="R46" s="176" t="s">
        <v>269</v>
      </c>
      <c r="S46" s="177" t="s">
        <v>177</v>
      </c>
      <c r="T46" s="178" t="s">
        <v>265</v>
      </c>
      <c r="U46" s="179" t="s">
        <v>142</v>
      </c>
      <c r="V46" s="175" t="s">
        <v>351</v>
      </c>
      <c r="W46" s="179" t="s">
        <v>324</v>
      </c>
      <c r="X46" s="180">
        <v>41</v>
      </c>
      <c r="Y46" s="180">
        <v>41</v>
      </c>
      <c r="Z46" s="181">
        <v>0</v>
      </c>
      <c r="AA46" s="180">
        <v>0</v>
      </c>
      <c r="AB46" s="180">
        <v>0</v>
      </c>
      <c r="AC46" s="180">
        <v>0</v>
      </c>
      <c r="AD46" s="180"/>
      <c r="AE46" s="180"/>
      <c r="AF46" s="180">
        <v>0</v>
      </c>
      <c r="AG46" s="180">
        <v>0</v>
      </c>
      <c r="AH46" s="180">
        <v>0</v>
      </c>
      <c r="AI46" s="180">
        <v>0</v>
      </c>
      <c r="AJ46" s="180">
        <v>0</v>
      </c>
      <c r="AK46" s="180">
        <v>0</v>
      </c>
      <c r="AL46" s="180">
        <v>0</v>
      </c>
      <c r="AM46" s="180">
        <v>0</v>
      </c>
      <c r="AN46" s="180">
        <v>0</v>
      </c>
      <c r="AO46" s="180">
        <v>0</v>
      </c>
      <c r="AP46" s="180">
        <f>7+2</f>
        <v>9</v>
      </c>
      <c r="AQ46" s="180">
        <f>7+2</f>
        <v>9</v>
      </c>
      <c r="AR46" s="180">
        <f>7+2</f>
        <v>9</v>
      </c>
      <c r="AS46" s="180">
        <f>7+2</f>
        <v>9</v>
      </c>
      <c r="AT46" s="180">
        <v>3</v>
      </c>
      <c r="AU46" s="180">
        <v>3</v>
      </c>
      <c r="AV46" s="180">
        <v>0</v>
      </c>
      <c r="AW46" s="180">
        <v>0</v>
      </c>
      <c r="AX46" s="180">
        <v>0</v>
      </c>
      <c r="AY46" s="180">
        <v>0</v>
      </c>
      <c r="AZ46" s="180">
        <v>0</v>
      </c>
      <c r="BA46" s="180">
        <v>0</v>
      </c>
      <c r="BB46" s="180">
        <v>0</v>
      </c>
      <c r="BC46" s="180">
        <v>0</v>
      </c>
      <c r="BD46" s="180">
        <v>0</v>
      </c>
      <c r="BE46" s="180">
        <v>0</v>
      </c>
      <c r="BF46" s="180">
        <v>0</v>
      </c>
      <c r="BG46" s="180">
        <v>0</v>
      </c>
      <c r="BH46" s="180">
        <v>0</v>
      </c>
      <c r="BI46" s="180">
        <v>0</v>
      </c>
      <c r="BJ46" s="180">
        <v>0</v>
      </c>
      <c r="BK46" s="180">
        <v>0</v>
      </c>
      <c r="BL46" s="180">
        <v>0</v>
      </c>
      <c r="BM46" s="180">
        <v>0</v>
      </c>
      <c r="BN46" s="180">
        <f t="shared" ref="BN46" si="51">X46*53+Z46*77+AB46*30+AD46*40+AF46*75+AH46*140+AJ46*640+AL46*480+AN46*450+AP46*680+AR46*85+AT46*575+AV46*2+AX46*1.5+AZ46*1800+BB46*900+BD46*1500+BF46*1500+BH46*1500+BJ46*600+BL46*750</f>
        <v>10783</v>
      </c>
      <c r="BO46" s="180">
        <f t="shared" ref="BO46" si="52">Y46*53+AA46*77+AC46*30+AE46*40+AG46*75+AI46*140+AK46*640+AM46*480+AO46*450+AQ46*680+AS46*85+AU46*575+AW46*2+AY46*1.5+BA46*1800+BC46*900+BE46*1500+BG46*1500+BI46*1500+BK46*600+BM46*750</f>
        <v>10783</v>
      </c>
      <c r="BP46" s="177" t="s">
        <v>177</v>
      </c>
      <c r="BQ46" s="172" t="s">
        <v>270</v>
      </c>
      <c r="BR46" s="172" t="s">
        <v>177</v>
      </c>
      <c r="BS46" s="172" t="s">
        <v>250</v>
      </c>
      <c r="BT46" s="172" t="s">
        <v>389</v>
      </c>
      <c r="BU46" s="183" t="s">
        <v>176</v>
      </c>
      <c r="BV46" s="193" t="s">
        <v>370</v>
      </c>
      <c r="BW46" s="184">
        <f t="shared" si="33"/>
        <v>10783</v>
      </c>
      <c r="BX46" s="185">
        <v>46055</v>
      </c>
      <c r="BY46" s="186" t="s">
        <v>250</v>
      </c>
      <c r="BZ46" s="182" t="s">
        <v>177</v>
      </c>
    </row>
    <row r="47" spans="1:78" s="2" customFormat="1" ht="63" customHeight="1" outlineLevel="1" x14ac:dyDescent="0.25">
      <c r="A47" s="34">
        <v>43</v>
      </c>
      <c r="B47" s="77">
        <v>19</v>
      </c>
      <c r="C47" s="78">
        <v>242156</v>
      </c>
      <c r="D47" s="78">
        <v>1171700</v>
      </c>
      <c r="E47" s="35" t="s">
        <v>143</v>
      </c>
      <c r="F47" s="36">
        <v>45986</v>
      </c>
      <c r="G47" s="36">
        <f t="shared" si="0"/>
        <v>45985</v>
      </c>
      <c r="H47" s="78" t="s">
        <v>42</v>
      </c>
      <c r="I47" s="78" t="s">
        <v>42</v>
      </c>
      <c r="J47" s="36" t="s">
        <v>42</v>
      </c>
      <c r="K47" s="36" t="s">
        <v>42</v>
      </c>
      <c r="L47" s="36">
        <v>46166</v>
      </c>
      <c r="M47" s="36">
        <f t="shared" ca="1" si="32"/>
        <v>46277</v>
      </c>
      <c r="N47" s="36" t="s">
        <v>262</v>
      </c>
      <c r="O47" s="169" t="str">
        <f t="shared" si="1"/>
        <v/>
      </c>
      <c r="P47" s="207" t="s">
        <v>268</v>
      </c>
      <c r="Q47" s="66">
        <f t="shared" ca="1" si="37"/>
        <v>292</v>
      </c>
      <c r="R47" s="66" t="s">
        <v>269</v>
      </c>
      <c r="S47" s="79" t="s">
        <v>42</v>
      </c>
      <c r="T47" s="37" t="s">
        <v>42</v>
      </c>
      <c r="U47" s="38" t="s">
        <v>144</v>
      </c>
      <c r="V47" s="34" t="s">
        <v>293</v>
      </c>
      <c r="W47" s="40" t="s">
        <v>324</v>
      </c>
      <c r="X47" s="47">
        <v>0</v>
      </c>
      <c r="Y47" s="47"/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/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1</v>
      </c>
      <c r="AQ47" s="47"/>
      <c r="AR47" s="47">
        <v>1</v>
      </c>
      <c r="AS47" s="47"/>
      <c r="AT47" s="47">
        <v>1</v>
      </c>
      <c r="AU47" s="47"/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f t="shared" si="2"/>
        <v>1340</v>
      </c>
      <c r="BO47" s="47">
        <f t="shared" si="2"/>
        <v>0</v>
      </c>
      <c r="BP47" s="39" t="s">
        <v>275</v>
      </c>
      <c r="BQ47" s="34" t="s">
        <v>42</v>
      </c>
      <c r="BR47" s="34" t="s">
        <v>42</v>
      </c>
      <c r="BS47" s="34" t="s">
        <v>157</v>
      </c>
      <c r="BT47" s="34" t="s">
        <v>42</v>
      </c>
      <c r="BU47" s="84">
        <v>19</v>
      </c>
      <c r="BV47" s="194"/>
      <c r="BW47" s="67">
        <f t="shared" si="33"/>
        <v>0</v>
      </c>
      <c r="BX47" s="68" t="s">
        <v>156</v>
      </c>
      <c r="BY47" s="153" t="s">
        <v>42</v>
      </c>
      <c r="BZ47" s="39" t="s">
        <v>190</v>
      </c>
    </row>
    <row r="48" spans="1:78" s="2" customFormat="1" ht="63" customHeight="1" outlineLevel="1" x14ac:dyDescent="0.25">
      <c r="A48" s="34">
        <v>44</v>
      </c>
      <c r="B48" s="172">
        <v>20</v>
      </c>
      <c r="C48" s="173">
        <v>242195</v>
      </c>
      <c r="D48" s="173">
        <v>1172151</v>
      </c>
      <c r="E48" s="174" t="s">
        <v>145</v>
      </c>
      <c r="F48" s="175">
        <v>45987</v>
      </c>
      <c r="G48" s="175">
        <f t="shared" si="0"/>
        <v>45986</v>
      </c>
      <c r="H48" s="173" t="s">
        <v>192</v>
      </c>
      <c r="I48" s="173" t="s">
        <v>276</v>
      </c>
      <c r="J48" s="175" t="s">
        <v>161</v>
      </c>
      <c r="K48" s="175" t="s">
        <v>161</v>
      </c>
      <c r="L48" s="175">
        <v>46167</v>
      </c>
      <c r="M48" s="175">
        <f t="shared" ca="1" si="32"/>
        <v>46277</v>
      </c>
      <c r="N48" s="175" t="s">
        <v>267</v>
      </c>
      <c r="O48" s="179">
        <f t="shared" si="1"/>
        <v>30</v>
      </c>
      <c r="P48" s="205" t="s">
        <v>268</v>
      </c>
      <c r="Q48" s="176">
        <f t="shared" ca="1" si="37"/>
        <v>291</v>
      </c>
      <c r="R48" s="176" t="s">
        <v>269</v>
      </c>
      <c r="S48" s="177" t="s">
        <v>177</v>
      </c>
      <c r="T48" s="178" t="s">
        <v>265</v>
      </c>
      <c r="U48" s="179" t="s">
        <v>161</v>
      </c>
      <c r="V48" s="175" t="s">
        <v>350</v>
      </c>
      <c r="W48" s="179" t="s">
        <v>311</v>
      </c>
      <c r="X48" s="180">
        <v>0</v>
      </c>
      <c r="Y48" s="180">
        <v>0</v>
      </c>
      <c r="Z48" s="181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>
        <v>0</v>
      </c>
      <c r="AG48" s="180">
        <v>0</v>
      </c>
      <c r="AH48" s="180">
        <v>0</v>
      </c>
      <c r="AI48" s="180">
        <v>0</v>
      </c>
      <c r="AJ48" s="180">
        <v>0</v>
      </c>
      <c r="AK48" s="180">
        <v>0</v>
      </c>
      <c r="AL48" s="180">
        <v>0</v>
      </c>
      <c r="AM48" s="180">
        <v>0</v>
      </c>
      <c r="AN48" s="180">
        <v>56</v>
      </c>
      <c r="AO48" s="180">
        <v>56</v>
      </c>
      <c r="AP48" s="180">
        <v>0</v>
      </c>
      <c r="AQ48" s="180">
        <v>0</v>
      </c>
      <c r="AR48" s="180">
        <v>0</v>
      </c>
      <c r="AS48" s="180">
        <v>0</v>
      </c>
      <c r="AT48" s="180">
        <v>0</v>
      </c>
      <c r="AU48" s="180">
        <v>0</v>
      </c>
      <c r="AV48" s="180">
        <v>0</v>
      </c>
      <c r="AW48" s="180">
        <v>0</v>
      </c>
      <c r="AX48" s="180">
        <v>0</v>
      </c>
      <c r="AY48" s="180">
        <v>0</v>
      </c>
      <c r="AZ48" s="180">
        <v>0</v>
      </c>
      <c r="BA48" s="180">
        <v>0</v>
      </c>
      <c r="BB48" s="180">
        <v>0</v>
      </c>
      <c r="BC48" s="180">
        <v>0</v>
      </c>
      <c r="BD48" s="180">
        <v>0</v>
      </c>
      <c r="BE48" s="180">
        <v>0</v>
      </c>
      <c r="BF48" s="180">
        <v>0</v>
      </c>
      <c r="BG48" s="180">
        <v>0</v>
      </c>
      <c r="BH48" s="180">
        <v>0</v>
      </c>
      <c r="BI48" s="180">
        <v>0</v>
      </c>
      <c r="BJ48" s="180">
        <v>0</v>
      </c>
      <c r="BK48" s="180">
        <v>0</v>
      </c>
      <c r="BL48" s="180">
        <v>0</v>
      </c>
      <c r="BM48" s="180">
        <v>0</v>
      </c>
      <c r="BN48" s="180">
        <f t="shared" si="2"/>
        <v>25200</v>
      </c>
      <c r="BO48" s="180">
        <f t="shared" si="2"/>
        <v>25200</v>
      </c>
      <c r="BP48" s="177" t="s">
        <v>177</v>
      </c>
      <c r="BQ48" s="172" t="s">
        <v>270</v>
      </c>
      <c r="BR48" s="172" t="s">
        <v>177</v>
      </c>
      <c r="BS48" s="172" t="s">
        <v>265</v>
      </c>
      <c r="BT48" s="172" t="s">
        <v>178</v>
      </c>
      <c r="BU48" s="183">
        <v>5</v>
      </c>
      <c r="BV48" s="193" t="s">
        <v>368</v>
      </c>
      <c r="BW48" s="184">
        <f t="shared" si="33"/>
        <v>25200</v>
      </c>
      <c r="BX48" s="185">
        <v>45986</v>
      </c>
      <c r="BY48" s="186" t="s">
        <v>250</v>
      </c>
      <c r="BZ48" s="182" t="s">
        <v>177</v>
      </c>
    </row>
    <row r="49" spans="1:78" s="2" customFormat="1" ht="63" customHeight="1" outlineLevel="1" x14ac:dyDescent="0.25">
      <c r="A49" s="34">
        <v>45</v>
      </c>
      <c r="B49" s="105" t="s">
        <v>420</v>
      </c>
      <c r="C49" s="106">
        <v>242196</v>
      </c>
      <c r="D49" s="106">
        <v>1172157</v>
      </c>
      <c r="E49" s="107" t="s">
        <v>146</v>
      </c>
      <c r="F49" s="108">
        <v>45987</v>
      </c>
      <c r="G49" s="108">
        <f t="shared" ref="G49:G50" si="53">F49-1</f>
        <v>45986</v>
      </c>
      <c r="H49" s="106" t="s">
        <v>410</v>
      </c>
      <c r="I49" s="106" t="s">
        <v>385</v>
      </c>
      <c r="J49" s="108">
        <v>46029</v>
      </c>
      <c r="K49" s="108">
        <v>46379</v>
      </c>
      <c r="L49" s="108">
        <v>46167</v>
      </c>
      <c r="M49" s="108">
        <f t="shared" ca="1" si="32"/>
        <v>46277</v>
      </c>
      <c r="N49" s="108" t="s">
        <v>239</v>
      </c>
      <c r="O49" s="187">
        <f t="shared" ref="O49:O50" si="54">IF(N49="Backfilling",30,IF(N49="Reinstatement",20,IF(N49="Shut Down",30,IF(N49="Returned",0,""))))</f>
        <v>20</v>
      </c>
      <c r="P49" s="206" t="s">
        <v>268</v>
      </c>
      <c r="Q49" s="109">
        <f t="shared" ref="Q49:Q50" ca="1" si="55">M49-G49</f>
        <v>291</v>
      </c>
      <c r="R49" s="159" t="s">
        <v>269</v>
      </c>
      <c r="S49" s="119" t="s">
        <v>3</v>
      </c>
      <c r="T49" s="111" t="s">
        <v>42</v>
      </c>
      <c r="U49" s="112" t="s">
        <v>126</v>
      </c>
      <c r="V49" s="104" t="s">
        <v>295</v>
      </c>
      <c r="W49" s="163" t="s">
        <v>325</v>
      </c>
      <c r="X49" s="113">
        <v>310</v>
      </c>
      <c r="Y49" s="113">
        <v>310</v>
      </c>
      <c r="Z49" s="114"/>
      <c r="AA49" s="113"/>
      <c r="AB49" s="113">
        <v>0</v>
      </c>
      <c r="AC49" s="113">
        <v>0</v>
      </c>
      <c r="AD49" s="113">
        <f>180+600</f>
        <v>780</v>
      </c>
      <c r="AE49" s="113">
        <f>180+600</f>
        <v>780</v>
      </c>
      <c r="AF49" s="113">
        <v>480</v>
      </c>
      <c r="AG49" s="113">
        <v>480</v>
      </c>
      <c r="AH49" s="113"/>
      <c r="AI49" s="113"/>
      <c r="AJ49" s="113">
        <f>115*3</f>
        <v>345</v>
      </c>
      <c r="AK49" s="113">
        <f>115*3</f>
        <v>345</v>
      </c>
      <c r="AL49" s="113"/>
      <c r="AM49" s="113"/>
      <c r="AN49" s="113"/>
      <c r="AO49" s="113"/>
      <c r="AP49" s="113">
        <v>1</v>
      </c>
      <c r="AQ49" s="113">
        <v>1</v>
      </c>
      <c r="AR49" s="113">
        <v>0</v>
      </c>
      <c r="AS49" s="113">
        <v>0</v>
      </c>
      <c r="AT49" s="113">
        <v>0</v>
      </c>
      <c r="AU49" s="113">
        <v>0</v>
      </c>
      <c r="AV49" s="113">
        <v>0</v>
      </c>
      <c r="AW49" s="113">
        <v>0</v>
      </c>
      <c r="AX49" s="113">
        <v>0</v>
      </c>
      <c r="AY49" s="113">
        <v>0</v>
      </c>
      <c r="AZ49" s="113">
        <v>0</v>
      </c>
      <c r="BA49" s="113">
        <v>0</v>
      </c>
      <c r="BB49" s="113">
        <v>0</v>
      </c>
      <c r="BC49" s="113">
        <v>0</v>
      </c>
      <c r="BD49" s="113">
        <v>0</v>
      </c>
      <c r="BE49" s="113">
        <v>0</v>
      </c>
      <c r="BF49" s="113">
        <v>0</v>
      </c>
      <c r="BG49" s="113">
        <v>0</v>
      </c>
      <c r="BH49" s="113">
        <v>0</v>
      </c>
      <c r="BI49" s="113">
        <v>0</v>
      </c>
      <c r="BJ49" s="113">
        <v>0</v>
      </c>
      <c r="BK49" s="113">
        <v>0</v>
      </c>
      <c r="BL49" s="113">
        <v>0</v>
      </c>
      <c r="BM49" s="113">
        <v>0</v>
      </c>
      <c r="BN49" s="113">
        <f t="shared" ref="BN49:BN50" si="56">X49*53+Z49*77+AB49*30+AD49*40+AF49*75+AH49*140+AJ49*640+AL49*480+AN49*450+AP49*680+AR49*85+AT49*575+AV49*2+AX49*1.5+AZ49*1800+BB49*900+BD49*1500+BF49*1500+BH49*1500+BJ49*600+BL49*750</f>
        <v>305110</v>
      </c>
      <c r="BO49" s="113">
        <f t="shared" ref="BO49:BO50" si="57">Y49*53+AA49*77+AC49*30+AE49*40+AG49*75+AI49*140+AK49*640+AM49*480+AO49*450+AQ49*680+AS49*85+AU49*575+AW49*2+AY49*1.5+BA49*1800+BC49*900+BE49*1500+BG49*1500+BI49*1500+BK49*600+BM49*750</f>
        <v>305110</v>
      </c>
      <c r="BP49" s="115" t="s">
        <v>3</v>
      </c>
      <c r="BQ49" s="104" t="s">
        <v>42</v>
      </c>
      <c r="BR49" s="104" t="s">
        <v>42</v>
      </c>
      <c r="BS49" s="104" t="s">
        <v>42</v>
      </c>
      <c r="BT49" s="104" t="s">
        <v>42</v>
      </c>
      <c r="BU49" s="116" t="s">
        <v>420</v>
      </c>
      <c r="BV49" s="191"/>
      <c r="BW49" s="117"/>
      <c r="BX49" s="118">
        <v>46174</v>
      </c>
      <c r="BY49" s="152" t="s">
        <v>42</v>
      </c>
      <c r="BZ49" s="115" t="s">
        <v>244</v>
      </c>
    </row>
    <row r="50" spans="1:78" s="2" customFormat="1" ht="63" customHeight="1" outlineLevel="1" x14ac:dyDescent="0.25">
      <c r="A50" s="34">
        <v>46</v>
      </c>
      <c r="B50" s="105" t="s">
        <v>421</v>
      </c>
      <c r="C50" s="106">
        <v>242196</v>
      </c>
      <c r="D50" s="106">
        <v>1172157</v>
      </c>
      <c r="E50" s="107" t="s">
        <v>146</v>
      </c>
      <c r="F50" s="108">
        <v>45987</v>
      </c>
      <c r="G50" s="108">
        <f t="shared" si="53"/>
        <v>45986</v>
      </c>
      <c r="H50" s="106" t="s">
        <v>410</v>
      </c>
      <c r="I50" s="106" t="s">
        <v>385</v>
      </c>
      <c r="J50" s="108">
        <v>46029</v>
      </c>
      <c r="K50" s="108">
        <v>46379</v>
      </c>
      <c r="L50" s="108">
        <v>46167</v>
      </c>
      <c r="M50" s="108">
        <v>46205</v>
      </c>
      <c r="N50" s="108" t="s">
        <v>239</v>
      </c>
      <c r="O50" s="187">
        <f t="shared" si="54"/>
        <v>20</v>
      </c>
      <c r="P50" s="206" t="s">
        <v>268</v>
      </c>
      <c r="Q50" s="109">
        <f t="shared" si="55"/>
        <v>219</v>
      </c>
      <c r="R50" s="159" t="s">
        <v>269</v>
      </c>
      <c r="S50" s="119" t="s">
        <v>3</v>
      </c>
      <c r="T50" s="111" t="s">
        <v>42</v>
      </c>
      <c r="U50" s="112" t="s">
        <v>126</v>
      </c>
      <c r="V50" s="104" t="s">
        <v>295</v>
      </c>
      <c r="W50" s="163" t="s">
        <v>325</v>
      </c>
      <c r="X50" s="113">
        <v>426</v>
      </c>
      <c r="Y50" s="113">
        <v>426</v>
      </c>
      <c r="Z50" s="114">
        <f>9*8</f>
        <v>72</v>
      </c>
      <c r="AA50" s="113">
        <f>9*8</f>
        <v>72</v>
      </c>
      <c r="AB50" s="113">
        <v>0</v>
      </c>
      <c r="AC50" s="113">
        <v>0</v>
      </c>
      <c r="AD50" s="113">
        <v>350</v>
      </c>
      <c r="AE50" s="113">
        <v>350</v>
      </c>
      <c r="AF50" s="113">
        <f>150+45</f>
        <v>195</v>
      </c>
      <c r="AG50" s="113">
        <v>195</v>
      </c>
      <c r="AH50" s="113"/>
      <c r="AI50" s="113"/>
      <c r="AJ50" s="113">
        <f>65*4</f>
        <v>260</v>
      </c>
      <c r="AK50" s="113">
        <f>65*4</f>
        <v>260</v>
      </c>
      <c r="AL50" s="113"/>
      <c r="AM50" s="113"/>
      <c r="AN50" s="113"/>
      <c r="AO50" s="113"/>
      <c r="AP50" s="113">
        <f>5+7+4</f>
        <v>16</v>
      </c>
      <c r="AQ50" s="113">
        <f>5+7+4</f>
        <v>16</v>
      </c>
      <c r="AR50" s="113">
        <f>4+5+3+1</f>
        <v>13</v>
      </c>
      <c r="AS50" s="113">
        <f>4+5+3+1</f>
        <v>13</v>
      </c>
      <c r="AT50" s="113">
        <v>5</v>
      </c>
      <c r="AU50" s="113">
        <v>5</v>
      </c>
      <c r="AV50" s="113">
        <v>0</v>
      </c>
      <c r="AW50" s="113">
        <v>0</v>
      </c>
      <c r="AX50" s="113">
        <v>0</v>
      </c>
      <c r="AY50" s="113">
        <v>0</v>
      </c>
      <c r="AZ50" s="113">
        <v>0</v>
      </c>
      <c r="BA50" s="113">
        <v>0</v>
      </c>
      <c r="BB50" s="113">
        <v>0</v>
      </c>
      <c r="BC50" s="113">
        <v>0</v>
      </c>
      <c r="BD50" s="113">
        <v>0</v>
      </c>
      <c r="BE50" s="113">
        <v>0</v>
      </c>
      <c r="BF50" s="113">
        <v>0</v>
      </c>
      <c r="BG50" s="113">
        <v>0</v>
      </c>
      <c r="BH50" s="113">
        <v>0</v>
      </c>
      <c r="BI50" s="113">
        <v>0</v>
      </c>
      <c r="BJ50" s="113">
        <v>0</v>
      </c>
      <c r="BK50" s="113">
        <v>0</v>
      </c>
      <c r="BL50" s="113">
        <v>0</v>
      </c>
      <c r="BM50" s="113">
        <v>0</v>
      </c>
      <c r="BN50" s="113">
        <f t="shared" si="56"/>
        <v>238007</v>
      </c>
      <c r="BO50" s="113">
        <f t="shared" si="57"/>
        <v>238007</v>
      </c>
      <c r="BP50" s="115" t="s">
        <v>3</v>
      </c>
      <c r="BQ50" s="104" t="s">
        <v>42</v>
      </c>
      <c r="BR50" s="104" t="s">
        <v>42</v>
      </c>
      <c r="BS50" s="104" t="s">
        <v>42</v>
      </c>
      <c r="BT50" s="104" t="s">
        <v>42</v>
      </c>
      <c r="BU50" s="116" t="s">
        <v>421</v>
      </c>
      <c r="BV50" s="191"/>
      <c r="BW50" s="117"/>
      <c r="BX50" s="118">
        <v>46177</v>
      </c>
      <c r="BY50" s="152" t="s">
        <v>42</v>
      </c>
      <c r="BZ50" s="115" t="s">
        <v>244</v>
      </c>
    </row>
    <row r="51" spans="1:78" s="2" customFormat="1" ht="63" customHeight="1" outlineLevel="1" x14ac:dyDescent="0.25">
      <c r="A51" s="34">
        <v>47</v>
      </c>
      <c r="B51" s="172">
        <v>22</v>
      </c>
      <c r="C51" s="173">
        <v>242733</v>
      </c>
      <c r="D51" s="173">
        <v>1176740</v>
      </c>
      <c r="E51" s="174" t="s">
        <v>147</v>
      </c>
      <c r="F51" s="175">
        <v>46000</v>
      </c>
      <c r="G51" s="175">
        <f t="shared" si="0"/>
        <v>45999</v>
      </c>
      <c r="H51" s="173">
        <v>811083</v>
      </c>
      <c r="I51" s="173" t="s">
        <v>385</v>
      </c>
      <c r="J51" s="175">
        <v>46014</v>
      </c>
      <c r="K51" s="175">
        <v>46184</v>
      </c>
      <c r="L51" s="175">
        <v>46182</v>
      </c>
      <c r="M51" s="175">
        <v>46166</v>
      </c>
      <c r="N51" s="175" t="s">
        <v>240</v>
      </c>
      <c r="O51" s="179">
        <f t="shared" si="1"/>
        <v>30</v>
      </c>
      <c r="P51" s="205" t="s">
        <v>268</v>
      </c>
      <c r="Q51" s="176">
        <f t="shared" si="37"/>
        <v>167</v>
      </c>
      <c r="R51" s="176" t="s">
        <v>269</v>
      </c>
      <c r="S51" s="177" t="s">
        <v>177</v>
      </c>
      <c r="T51" s="178" t="s">
        <v>265</v>
      </c>
      <c r="U51" s="179" t="s">
        <v>148</v>
      </c>
      <c r="V51" s="175" t="s">
        <v>291</v>
      </c>
      <c r="W51" s="179" t="s">
        <v>316</v>
      </c>
      <c r="X51" s="180">
        <v>25</v>
      </c>
      <c r="Y51" s="180">
        <v>25</v>
      </c>
      <c r="Z51" s="181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F51" s="180">
        <v>0</v>
      </c>
      <c r="AG51" s="180">
        <v>0</v>
      </c>
      <c r="AH51" s="180">
        <v>0</v>
      </c>
      <c r="AI51" s="180">
        <v>0</v>
      </c>
      <c r="AJ51" s="180">
        <v>0</v>
      </c>
      <c r="AK51" s="180">
        <v>0</v>
      </c>
      <c r="AL51" s="180">
        <v>0</v>
      </c>
      <c r="AM51" s="180">
        <v>0</v>
      </c>
      <c r="AN51" s="180">
        <v>0</v>
      </c>
      <c r="AO51" s="180">
        <v>0</v>
      </c>
      <c r="AP51" s="180">
        <v>4</v>
      </c>
      <c r="AQ51" s="180">
        <v>4</v>
      </c>
      <c r="AR51" s="180">
        <v>4</v>
      </c>
      <c r="AS51" s="180">
        <v>4</v>
      </c>
      <c r="AT51" s="180">
        <v>4</v>
      </c>
      <c r="AU51" s="180">
        <v>4</v>
      </c>
      <c r="AV51" s="180">
        <v>0</v>
      </c>
      <c r="AW51" s="180">
        <v>0</v>
      </c>
      <c r="AX51" s="180">
        <v>0</v>
      </c>
      <c r="AY51" s="180">
        <v>0</v>
      </c>
      <c r="AZ51" s="180">
        <v>0</v>
      </c>
      <c r="BA51" s="180">
        <v>0</v>
      </c>
      <c r="BB51" s="180">
        <v>0</v>
      </c>
      <c r="BC51" s="180">
        <v>0</v>
      </c>
      <c r="BD51" s="180">
        <v>0</v>
      </c>
      <c r="BE51" s="180">
        <v>0</v>
      </c>
      <c r="BF51" s="180">
        <v>0</v>
      </c>
      <c r="BG51" s="180">
        <v>0</v>
      </c>
      <c r="BH51" s="180">
        <v>0</v>
      </c>
      <c r="BI51" s="180">
        <v>0</v>
      </c>
      <c r="BJ51" s="180">
        <v>0</v>
      </c>
      <c r="BK51" s="180">
        <v>0</v>
      </c>
      <c r="BL51" s="180">
        <v>0</v>
      </c>
      <c r="BM51" s="180">
        <v>0</v>
      </c>
      <c r="BN51" s="180">
        <f t="shared" si="2"/>
        <v>6685</v>
      </c>
      <c r="BO51" s="180">
        <f t="shared" si="2"/>
        <v>6685</v>
      </c>
      <c r="BP51" s="177" t="s">
        <v>177</v>
      </c>
      <c r="BQ51" s="172" t="s">
        <v>270</v>
      </c>
      <c r="BR51" s="172" t="s">
        <v>177</v>
      </c>
      <c r="BS51" s="172" t="s">
        <v>250</v>
      </c>
      <c r="BT51" s="172" t="s">
        <v>424</v>
      </c>
      <c r="BU51" s="183">
        <v>22</v>
      </c>
      <c r="BV51" s="193"/>
      <c r="BW51" s="184">
        <f t="shared" si="33"/>
        <v>6685</v>
      </c>
      <c r="BX51" s="185">
        <v>46055</v>
      </c>
      <c r="BY51" s="186" t="s">
        <v>250</v>
      </c>
      <c r="BZ51" s="182" t="s">
        <v>177</v>
      </c>
    </row>
    <row r="52" spans="1:78" s="2" customFormat="1" ht="63" customHeight="1" outlineLevel="1" x14ac:dyDescent="0.25">
      <c r="A52" s="34">
        <v>48</v>
      </c>
      <c r="B52" s="172" t="s">
        <v>194</v>
      </c>
      <c r="C52" s="173">
        <v>242995</v>
      </c>
      <c r="D52" s="173">
        <v>1178134</v>
      </c>
      <c r="E52" s="174" t="s">
        <v>150</v>
      </c>
      <c r="F52" s="175">
        <v>46005</v>
      </c>
      <c r="G52" s="175">
        <f t="shared" ref="G52" si="58">F52-1</f>
        <v>46004</v>
      </c>
      <c r="H52" s="173">
        <v>811841</v>
      </c>
      <c r="I52" s="173" t="s">
        <v>385</v>
      </c>
      <c r="J52" s="175">
        <v>46034</v>
      </c>
      <c r="K52" s="175">
        <v>46198</v>
      </c>
      <c r="L52" s="175">
        <v>45822</v>
      </c>
      <c r="M52" s="175">
        <v>46089</v>
      </c>
      <c r="N52" s="175" t="s">
        <v>240</v>
      </c>
      <c r="O52" s="179">
        <f t="shared" si="1"/>
        <v>30</v>
      </c>
      <c r="P52" s="205" t="s">
        <v>268</v>
      </c>
      <c r="Q52" s="176">
        <f t="shared" si="37"/>
        <v>85</v>
      </c>
      <c r="R52" s="176" t="s">
        <v>269</v>
      </c>
      <c r="S52" s="177" t="s">
        <v>177</v>
      </c>
      <c r="T52" s="178" t="s">
        <v>42</v>
      </c>
      <c r="U52" s="179" t="s">
        <v>151</v>
      </c>
      <c r="V52" s="175" t="s">
        <v>353</v>
      </c>
      <c r="W52" s="179" t="s">
        <v>322</v>
      </c>
      <c r="X52" s="180">
        <v>566.72</v>
      </c>
      <c r="Y52" s="180">
        <v>566.72</v>
      </c>
      <c r="Z52" s="181">
        <v>0</v>
      </c>
      <c r="AA52" s="180">
        <v>0</v>
      </c>
      <c r="AB52" s="180">
        <v>0</v>
      </c>
      <c r="AC52" s="180">
        <v>0</v>
      </c>
      <c r="AD52" s="180">
        <v>0</v>
      </c>
      <c r="AE52" s="180"/>
      <c r="AF52" s="180">
        <v>0</v>
      </c>
      <c r="AG52" s="180"/>
      <c r="AH52" s="180">
        <v>0</v>
      </c>
      <c r="AI52" s="180">
        <v>0</v>
      </c>
      <c r="AJ52" s="180">
        <v>0</v>
      </c>
      <c r="AK52" s="180">
        <v>0</v>
      </c>
      <c r="AL52" s="180">
        <v>1</v>
      </c>
      <c r="AM52" s="180">
        <v>1</v>
      </c>
      <c r="AN52" s="180">
        <v>1</v>
      </c>
      <c r="AO52" s="180">
        <v>1</v>
      </c>
      <c r="AP52" s="180">
        <v>6</v>
      </c>
      <c r="AQ52" s="180">
        <v>6</v>
      </c>
      <c r="AR52" s="180">
        <v>4</v>
      </c>
      <c r="AS52" s="180">
        <v>4</v>
      </c>
      <c r="AT52" s="180">
        <v>2</v>
      </c>
      <c r="AU52" s="180">
        <v>2</v>
      </c>
      <c r="AV52" s="180">
        <v>0</v>
      </c>
      <c r="AW52" s="180">
        <v>0</v>
      </c>
      <c r="AX52" s="180">
        <v>0</v>
      </c>
      <c r="AY52" s="180">
        <v>0</v>
      </c>
      <c r="AZ52" s="180">
        <v>0</v>
      </c>
      <c r="BA52" s="180">
        <v>0</v>
      </c>
      <c r="BB52" s="180">
        <v>0</v>
      </c>
      <c r="BC52" s="180">
        <v>0</v>
      </c>
      <c r="BD52" s="180">
        <v>0</v>
      </c>
      <c r="BE52" s="180">
        <v>0</v>
      </c>
      <c r="BF52" s="180">
        <v>0</v>
      </c>
      <c r="BG52" s="180">
        <v>0</v>
      </c>
      <c r="BH52" s="180">
        <v>0</v>
      </c>
      <c r="BI52" s="180">
        <v>0</v>
      </c>
      <c r="BJ52" s="180">
        <v>0</v>
      </c>
      <c r="BK52" s="180">
        <v>0</v>
      </c>
      <c r="BL52" s="180">
        <v>0</v>
      </c>
      <c r="BM52" s="180">
        <v>0</v>
      </c>
      <c r="BN52" s="180">
        <f t="shared" ref="BN52" si="59">X52*53+Z52*77+AB52*30+AD52*40+AF52*75+AH52*140+AJ52*640+AL52*480+AN52*450+AP52*680+AR52*85+AT52*575+AV52*2+AX52*1.5+AZ52*1800+BB52*900+BD52*1500+BF52*1500+BH52*1500+BJ52*600+BL52*750</f>
        <v>36536.160000000003</v>
      </c>
      <c r="BO52" s="180">
        <f t="shared" ref="BO52:BO109" si="60">Y52*53+AA52*77+AC52*30+AE52*40+AG52*75+AI52*140+AK52*640+AM52*480+AO52*450+AQ52*680+AS52*85+AU52*575+AW52*2+AY52*1.5+BA52*1800+BC52*900+BE52*1500+BG52*1500+BI52*1500+BK52*600+BM52*750</f>
        <v>36536.160000000003</v>
      </c>
      <c r="BP52" s="177" t="s">
        <v>177</v>
      </c>
      <c r="BQ52" s="172" t="s">
        <v>270</v>
      </c>
      <c r="BR52" s="172" t="s">
        <v>177</v>
      </c>
      <c r="BS52" s="172" t="s">
        <v>250</v>
      </c>
      <c r="BT52" s="172" t="s">
        <v>424</v>
      </c>
      <c r="BU52" s="183" t="s">
        <v>187</v>
      </c>
      <c r="BV52" s="193" t="s">
        <v>375</v>
      </c>
      <c r="BW52" s="184">
        <f t="shared" si="33"/>
        <v>36536.160000000003</v>
      </c>
      <c r="BX52" s="185">
        <v>46078</v>
      </c>
      <c r="BY52" s="186" t="s">
        <v>250</v>
      </c>
      <c r="BZ52" s="182" t="s">
        <v>177</v>
      </c>
    </row>
    <row r="53" spans="1:78" s="2" customFormat="1" ht="63" customHeight="1" outlineLevel="1" x14ac:dyDescent="0.25">
      <c r="A53" s="34">
        <v>49</v>
      </c>
      <c r="B53" s="233">
        <v>24</v>
      </c>
      <c r="C53" s="121">
        <v>244310</v>
      </c>
      <c r="D53" s="121">
        <v>1187940</v>
      </c>
      <c r="E53" s="122" t="s">
        <v>164</v>
      </c>
      <c r="F53" s="123">
        <v>46030</v>
      </c>
      <c r="G53" s="123">
        <f t="shared" si="0"/>
        <v>46029</v>
      </c>
      <c r="H53" s="121">
        <v>822694</v>
      </c>
      <c r="I53" s="120" t="s">
        <v>385</v>
      </c>
      <c r="J53" s="123">
        <v>46151</v>
      </c>
      <c r="K53" s="123">
        <v>46280</v>
      </c>
      <c r="L53" s="123">
        <v>46180</v>
      </c>
      <c r="M53" s="123">
        <f t="shared" ca="1" si="32"/>
        <v>46277</v>
      </c>
      <c r="N53" s="123" t="s">
        <v>157</v>
      </c>
      <c r="O53" s="210" t="str">
        <f t="shared" si="1"/>
        <v/>
      </c>
      <c r="P53" s="204" t="s">
        <v>268</v>
      </c>
      <c r="Q53" s="124">
        <f t="shared" ca="1" si="37"/>
        <v>248</v>
      </c>
      <c r="R53" s="124" t="s">
        <v>269</v>
      </c>
      <c r="S53" s="125" t="s">
        <v>157</v>
      </c>
      <c r="T53" s="126" t="s">
        <v>261</v>
      </c>
      <c r="U53" s="127" t="s">
        <v>165</v>
      </c>
      <c r="V53" s="120" t="s">
        <v>166</v>
      </c>
      <c r="W53" s="214"/>
      <c r="X53" s="128">
        <v>500</v>
      </c>
      <c r="Y53" s="128">
        <v>0</v>
      </c>
      <c r="Z53" s="129">
        <v>0</v>
      </c>
      <c r="AA53" s="128">
        <v>0</v>
      </c>
      <c r="AB53" s="128">
        <v>0</v>
      </c>
      <c r="AC53" s="128">
        <v>0</v>
      </c>
      <c r="AD53" s="128">
        <v>400</v>
      </c>
      <c r="AE53" s="128">
        <v>0</v>
      </c>
      <c r="AF53" s="128">
        <v>60</v>
      </c>
      <c r="AG53" s="128">
        <v>0</v>
      </c>
      <c r="AH53" s="128">
        <v>0</v>
      </c>
      <c r="AI53" s="128">
        <v>0</v>
      </c>
      <c r="AJ53" s="128">
        <v>0</v>
      </c>
      <c r="AK53" s="128">
        <v>0</v>
      </c>
      <c r="AL53" s="128">
        <v>0</v>
      </c>
      <c r="AM53" s="128">
        <v>0</v>
      </c>
      <c r="AN53" s="128">
        <v>0</v>
      </c>
      <c r="AO53" s="128">
        <v>0</v>
      </c>
      <c r="AP53" s="128">
        <v>12</v>
      </c>
      <c r="AQ53" s="128">
        <v>0</v>
      </c>
      <c r="AR53" s="128">
        <v>12</v>
      </c>
      <c r="AS53" s="128">
        <v>0</v>
      </c>
      <c r="AT53" s="128">
        <v>0</v>
      </c>
      <c r="AU53" s="128">
        <v>0</v>
      </c>
      <c r="AV53" s="128">
        <v>0</v>
      </c>
      <c r="AW53" s="128">
        <v>0</v>
      </c>
      <c r="AX53" s="128">
        <v>0</v>
      </c>
      <c r="AY53" s="128">
        <v>0</v>
      </c>
      <c r="AZ53" s="128">
        <v>0</v>
      </c>
      <c r="BA53" s="128">
        <v>0</v>
      </c>
      <c r="BB53" s="128">
        <v>0</v>
      </c>
      <c r="BC53" s="128">
        <v>0</v>
      </c>
      <c r="BD53" s="128">
        <v>0</v>
      </c>
      <c r="BE53" s="128">
        <v>0</v>
      </c>
      <c r="BF53" s="128">
        <v>0</v>
      </c>
      <c r="BG53" s="128">
        <v>0</v>
      </c>
      <c r="BH53" s="128">
        <v>0</v>
      </c>
      <c r="BI53" s="128">
        <v>0</v>
      </c>
      <c r="BJ53" s="128">
        <v>0</v>
      </c>
      <c r="BK53" s="128">
        <v>0</v>
      </c>
      <c r="BL53" s="128">
        <v>0</v>
      </c>
      <c r="BM53" s="128">
        <v>0</v>
      </c>
      <c r="BN53" s="128">
        <f t="shared" si="2"/>
        <v>56180</v>
      </c>
      <c r="BO53" s="128">
        <f t="shared" si="60"/>
        <v>0</v>
      </c>
      <c r="BP53" s="133" t="s">
        <v>157</v>
      </c>
      <c r="BQ53" s="120" t="s">
        <v>42</v>
      </c>
      <c r="BR53" s="120" t="s">
        <v>42</v>
      </c>
      <c r="BS53" s="120" t="s">
        <v>157</v>
      </c>
      <c r="BT53" s="120" t="s">
        <v>42</v>
      </c>
      <c r="BU53" s="215">
        <v>24</v>
      </c>
      <c r="BV53" s="216"/>
      <c r="BW53" s="131">
        <f t="shared" si="33"/>
        <v>0</v>
      </c>
      <c r="BX53" s="234" t="s">
        <v>156</v>
      </c>
      <c r="BY53" s="151" t="s">
        <v>42</v>
      </c>
      <c r="BZ53" s="133" t="s">
        <v>157</v>
      </c>
    </row>
    <row r="54" spans="1:78" s="2" customFormat="1" ht="63" customHeight="1" outlineLevel="1" x14ac:dyDescent="0.25">
      <c r="A54" s="34">
        <v>50</v>
      </c>
      <c r="B54" s="172">
        <v>25</v>
      </c>
      <c r="C54" s="173">
        <v>244395</v>
      </c>
      <c r="D54" s="173">
        <v>1188979</v>
      </c>
      <c r="E54" s="174" t="s">
        <v>167</v>
      </c>
      <c r="F54" s="175">
        <v>46034</v>
      </c>
      <c r="G54" s="175">
        <f t="shared" si="0"/>
        <v>46033</v>
      </c>
      <c r="H54" s="173">
        <v>815394</v>
      </c>
      <c r="I54" s="173" t="s">
        <v>385</v>
      </c>
      <c r="J54" s="175">
        <v>46061</v>
      </c>
      <c r="K54" s="175">
        <v>46233</v>
      </c>
      <c r="L54" s="175">
        <v>46184</v>
      </c>
      <c r="M54" s="175">
        <v>46112</v>
      </c>
      <c r="N54" s="175" t="s">
        <v>240</v>
      </c>
      <c r="O54" s="179">
        <f t="shared" si="1"/>
        <v>30</v>
      </c>
      <c r="P54" s="205" t="s">
        <v>268</v>
      </c>
      <c r="Q54" s="176">
        <f t="shared" si="37"/>
        <v>79</v>
      </c>
      <c r="R54" s="176" t="s">
        <v>269</v>
      </c>
      <c r="S54" s="177" t="s">
        <v>177</v>
      </c>
      <c r="T54" s="178" t="s">
        <v>265</v>
      </c>
      <c r="U54" s="179" t="s">
        <v>168</v>
      </c>
      <c r="V54" s="175" t="s">
        <v>296</v>
      </c>
      <c r="W54" s="179" t="s">
        <v>326</v>
      </c>
      <c r="X54" s="180">
        <v>169.16</v>
      </c>
      <c r="Y54" s="180">
        <v>169.16</v>
      </c>
      <c r="Z54" s="181">
        <v>0</v>
      </c>
      <c r="AA54" s="180">
        <v>0</v>
      </c>
      <c r="AB54" s="180">
        <v>0</v>
      </c>
      <c r="AC54" s="180">
        <v>0</v>
      </c>
      <c r="AD54" s="180">
        <v>170</v>
      </c>
      <c r="AE54" s="180">
        <v>170</v>
      </c>
      <c r="AF54" s="180">
        <v>0</v>
      </c>
      <c r="AG54" s="180">
        <v>0</v>
      </c>
      <c r="AH54" s="180">
        <v>0</v>
      </c>
      <c r="AI54" s="180">
        <v>0</v>
      </c>
      <c r="AJ54" s="180">
        <v>0</v>
      </c>
      <c r="AK54" s="180">
        <v>0</v>
      </c>
      <c r="AL54" s="180">
        <v>3</v>
      </c>
      <c r="AM54" s="180">
        <v>3</v>
      </c>
      <c r="AN54" s="180">
        <v>1</v>
      </c>
      <c r="AO54" s="180">
        <v>1</v>
      </c>
      <c r="AP54" s="180">
        <v>2</v>
      </c>
      <c r="AQ54" s="180">
        <v>2</v>
      </c>
      <c r="AR54" s="180">
        <v>4</v>
      </c>
      <c r="AS54" s="180">
        <v>4</v>
      </c>
      <c r="AT54" s="180">
        <v>3</v>
      </c>
      <c r="AU54" s="180">
        <v>3</v>
      </c>
      <c r="AV54" s="180">
        <v>0</v>
      </c>
      <c r="AW54" s="180">
        <v>0</v>
      </c>
      <c r="AX54" s="180">
        <v>0</v>
      </c>
      <c r="AY54" s="180">
        <v>0</v>
      </c>
      <c r="AZ54" s="180">
        <v>0</v>
      </c>
      <c r="BA54" s="180">
        <v>0</v>
      </c>
      <c r="BB54" s="180">
        <v>0</v>
      </c>
      <c r="BC54" s="180">
        <v>0</v>
      </c>
      <c r="BD54" s="180">
        <v>0</v>
      </c>
      <c r="BE54" s="180">
        <v>0</v>
      </c>
      <c r="BF54" s="180">
        <v>0</v>
      </c>
      <c r="BG54" s="180">
        <v>0</v>
      </c>
      <c r="BH54" s="180">
        <v>0</v>
      </c>
      <c r="BI54" s="180">
        <v>0</v>
      </c>
      <c r="BJ54" s="180">
        <v>0</v>
      </c>
      <c r="BK54" s="180">
        <v>0</v>
      </c>
      <c r="BL54" s="180">
        <v>0</v>
      </c>
      <c r="BM54" s="180">
        <v>0</v>
      </c>
      <c r="BN54" s="180">
        <f t="shared" si="2"/>
        <v>21080.48</v>
      </c>
      <c r="BO54" s="180">
        <f t="shared" si="60"/>
        <v>21080.48</v>
      </c>
      <c r="BP54" s="177" t="s">
        <v>177</v>
      </c>
      <c r="BQ54" s="172" t="s">
        <v>270</v>
      </c>
      <c r="BR54" s="172" t="s">
        <v>177</v>
      </c>
      <c r="BS54" s="172" t="s">
        <v>250</v>
      </c>
      <c r="BT54" s="172" t="s">
        <v>406</v>
      </c>
      <c r="BU54" s="183">
        <v>25</v>
      </c>
      <c r="BV54" s="193" t="s">
        <v>376</v>
      </c>
      <c r="BW54" s="184">
        <f t="shared" ref="BW54:BW59" si="61">BO54</f>
        <v>21080.48</v>
      </c>
      <c r="BX54" s="185">
        <v>46075</v>
      </c>
      <c r="BY54" s="186" t="s">
        <v>250</v>
      </c>
      <c r="BZ54" s="182" t="s">
        <v>177</v>
      </c>
    </row>
    <row r="55" spans="1:78" s="2" customFormat="1" ht="63" customHeight="1" outlineLevel="1" x14ac:dyDescent="0.25">
      <c r="A55" s="34">
        <v>51</v>
      </c>
      <c r="B55" s="228" t="s">
        <v>208</v>
      </c>
      <c r="C55" s="173">
        <v>244397</v>
      </c>
      <c r="D55" s="173">
        <v>1188982</v>
      </c>
      <c r="E55" s="174" t="s">
        <v>169</v>
      </c>
      <c r="F55" s="175">
        <v>46034</v>
      </c>
      <c r="G55" s="175">
        <v>46033</v>
      </c>
      <c r="H55" s="173">
        <v>815395</v>
      </c>
      <c r="I55" s="173" t="s">
        <v>385</v>
      </c>
      <c r="J55" s="175">
        <v>46061</v>
      </c>
      <c r="K55" s="175">
        <v>46233</v>
      </c>
      <c r="L55" s="175">
        <v>46184</v>
      </c>
      <c r="M55" s="175">
        <v>46118</v>
      </c>
      <c r="N55" s="175" t="s">
        <v>240</v>
      </c>
      <c r="O55" s="229">
        <f t="shared" si="1"/>
        <v>30</v>
      </c>
      <c r="P55" s="205" t="s">
        <v>268</v>
      </c>
      <c r="Q55" s="176">
        <v>67</v>
      </c>
      <c r="R55" s="230" t="s">
        <v>269</v>
      </c>
      <c r="S55" s="226" t="s">
        <v>177</v>
      </c>
      <c r="T55" s="178" t="s">
        <v>42</v>
      </c>
      <c r="U55" s="179" t="s">
        <v>170</v>
      </c>
      <c r="V55" s="172" t="s">
        <v>296</v>
      </c>
      <c r="W55" s="231" t="s">
        <v>326</v>
      </c>
      <c r="X55" s="180">
        <v>436.98</v>
      </c>
      <c r="Y55" s="180">
        <v>436.98</v>
      </c>
      <c r="Z55" s="181">
        <v>0</v>
      </c>
      <c r="AA55" s="180">
        <v>0</v>
      </c>
      <c r="AB55" s="180">
        <v>0</v>
      </c>
      <c r="AC55" s="180">
        <v>0</v>
      </c>
      <c r="AD55" s="180">
        <f>198+26</f>
        <v>224</v>
      </c>
      <c r="AE55" s="180">
        <f>198+26</f>
        <v>224</v>
      </c>
      <c r="AF55" s="180">
        <v>0</v>
      </c>
      <c r="AG55" s="180">
        <v>0</v>
      </c>
      <c r="AH55" s="180">
        <v>400</v>
      </c>
      <c r="AI55" s="180">
        <v>400</v>
      </c>
      <c r="AJ55" s="180">
        <v>0</v>
      </c>
      <c r="AK55" s="180">
        <v>0</v>
      </c>
      <c r="AL55" s="180">
        <v>0</v>
      </c>
      <c r="AM55" s="180">
        <v>0</v>
      </c>
      <c r="AN55" s="180">
        <v>0</v>
      </c>
      <c r="AO55" s="180">
        <v>0</v>
      </c>
      <c r="AP55" s="180">
        <v>0</v>
      </c>
      <c r="AQ55" s="180">
        <v>0</v>
      </c>
      <c r="AR55" s="180">
        <v>0</v>
      </c>
      <c r="AS55" s="180">
        <v>0</v>
      </c>
      <c r="AT55" s="180">
        <v>0</v>
      </c>
      <c r="AU55" s="180">
        <v>0</v>
      </c>
      <c r="AV55" s="180">
        <v>0</v>
      </c>
      <c r="AW55" s="180">
        <v>0</v>
      </c>
      <c r="AX55" s="180">
        <v>0</v>
      </c>
      <c r="AY55" s="180">
        <v>0</v>
      </c>
      <c r="AZ55" s="180">
        <v>0</v>
      </c>
      <c r="BA55" s="180">
        <v>0</v>
      </c>
      <c r="BB55" s="180">
        <v>0</v>
      </c>
      <c r="BC55" s="180">
        <v>0</v>
      </c>
      <c r="BD55" s="180">
        <v>0</v>
      </c>
      <c r="BE55" s="180">
        <v>0</v>
      </c>
      <c r="BF55" s="180">
        <v>0</v>
      </c>
      <c r="BG55" s="180">
        <v>0</v>
      </c>
      <c r="BH55" s="180">
        <v>0</v>
      </c>
      <c r="BI55" s="180">
        <v>0</v>
      </c>
      <c r="BJ55" s="180">
        <v>0</v>
      </c>
      <c r="BK55" s="180">
        <v>0</v>
      </c>
      <c r="BL55" s="180">
        <v>0</v>
      </c>
      <c r="BM55" s="180">
        <v>0</v>
      </c>
      <c r="BN55" s="180">
        <f t="shared" si="2"/>
        <v>88119.94</v>
      </c>
      <c r="BO55" s="180">
        <f t="shared" si="60"/>
        <v>88119.94</v>
      </c>
      <c r="BP55" s="182" t="s">
        <v>177</v>
      </c>
      <c r="BQ55" s="172" t="s">
        <v>270</v>
      </c>
      <c r="BR55" s="172" t="s">
        <v>177</v>
      </c>
      <c r="BS55" s="172" t="s">
        <v>250</v>
      </c>
      <c r="BT55" s="172" t="s">
        <v>462</v>
      </c>
      <c r="BU55" s="183" t="s">
        <v>221</v>
      </c>
      <c r="BV55" s="193"/>
      <c r="BW55" s="184">
        <f t="shared" si="61"/>
        <v>88119.94</v>
      </c>
      <c r="BX55" s="185">
        <v>46100</v>
      </c>
      <c r="BY55" s="186" t="s">
        <v>250</v>
      </c>
      <c r="BZ55" s="182" t="s">
        <v>177</v>
      </c>
    </row>
    <row r="56" spans="1:78" s="2" customFormat="1" ht="63" customHeight="1" outlineLevel="1" x14ac:dyDescent="0.25">
      <c r="A56" s="34">
        <v>52</v>
      </c>
      <c r="B56" s="172" t="s">
        <v>220</v>
      </c>
      <c r="C56" s="173">
        <v>244397</v>
      </c>
      <c r="D56" s="173">
        <v>1188982</v>
      </c>
      <c r="E56" s="174" t="s">
        <v>169</v>
      </c>
      <c r="F56" s="175">
        <v>46034</v>
      </c>
      <c r="G56" s="175">
        <v>46033</v>
      </c>
      <c r="H56" s="173">
        <v>815395</v>
      </c>
      <c r="I56" s="173" t="s">
        <v>385</v>
      </c>
      <c r="J56" s="175">
        <v>46061</v>
      </c>
      <c r="K56" s="175">
        <v>46233</v>
      </c>
      <c r="L56" s="175">
        <v>46184</v>
      </c>
      <c r="M56" s="175">
        <v>46125</v>
      </c>
      <c r="N56" s="175" t="s">
        <v>240</v>
      </c>
      <c r="O56" s="179">
        <f t="shared" si="1"/>
        <v>30</v>
      </c>
      <c r="P56" s="205" t="s">
        <v>268</v>
      </c>
      <c r="Q56" s="176">
        <v>67</v>
      </c>
      <c r="R56" s="176" t="s">
        <v>269</v>
      </c>
      <c r="S56" s="177" t="s">
        <v>177</v>
      </c>
      <c r="T56" s="178" t="s">
        <v>42</v>
      </c>
      <c r="U56" s="179" t="s">
        <v>170</v>
      </c>
      <c r="V56" s="175" t="s">
        <v>296</v>
      </c>
      <c r="W56" s="179" t="s">
        <v>392</v>
      </c>
      <c r="X56" s="180">
        <v>238</v>
      </c>
      <c r="Y56" s="180">
        <v>238</v>
      </c>
      <c r="Z56" s="181">
        <v>0</v>
      </c>
      <c r="AA56" s="180">
        <v>0</v>
      </c>
      <c r="AB56" s="180">
        <v>0</v>
      </c>
      <c r="AC56" s="180">
        <v>0</v>
      </c>
      <c r="AD56" s="180">
        <f>36</f>
        <v>36</v>
      </c>
      <c r="AE56" s="180">
        <v>36</v>
      </c>
      <c r="AF56" s="180">
        <v>0</v>
      </c>
      <c r="AG56" s="180">
        <v>0</v>
      </c>
      <c r="AH56" s="180">
        <v>1432</v>
      </c>
      <c r="AI56" s="180">
        <v>1432</v>
      </c>
      <c r="AJ56" s="180">
        <v>0</v>
      </c>
      <c r="AK56" s="180">
        <v>0</v>
      </c>
      <c r="AL56" s="180">
        <v>2</v>
      </c>
      <c r="AM56" s="180">
        <v>2</v>
      </c>
      <c r="AN56" s="180">
        <v>2</v>
      </c>
      <c r="AO56" s="180">
        <v>2</v>
      </c>
      <c r="AP56" s="180">
        <f>2+3</f>
        <v>5</v>
      </c>
      <c r="AQ56" s="180">
        <f>2+3</f>
        <v>5</v>
      </c>
      <c r="AR56" s="180">
        <f>2+3</f>
        <v>5</v>
      </c>
      <c r="AS56" s="180">
        <f>2+3</f>
        <v>5</v>
      </c>
      <c r="AT56" s="180">
        <v>3</v>
      </c>
      <c r="AU56" s="180">
        <v>3</v>
      </c>
      <c r="AV56" s="180">
        <v>0</v>
      </c>
      <c r="AW56" s="180">
        <v>0</v>
      </c>
      <c r="AX56" s="180">
        <v>0</v>
      </c>
      <c r="AY56" s="180">
        <v>0</v>
      </c>
      <c r="AZ56" s="180">
        <v>0</v>
      </c>
      <c r="BA56" s="180">
        <v>0</v>
      </c>
      <c r="BB56" s="180">
        <v>0</v>
      </c>
      <c r="BC56" s="180">
        <v>0</v>
      </c>
      <c r="BD56" s="180">
        <v>0</v>
      </c>
      <c r="BE56" s="180">
        <v>0</v>
      </c>
      <c r="BF56" s="180">
        <v>0</v>
      </c>
      <c r="BG56" s="180">
        <v>0</v>
      </c>
      <c r="BH56" s="180">
        <v>0</v>
      </c>
      <c r="BI56" s="180">
        <v>0</v>
      </c>
      <c r="BJ56" s="180">
        <v>0</v>
      </c>
      <c r="BK56" s="180">
        <v>0</v>
      </c>
      <c r="BL56" s="180">
        <v>0</v>
      </c>
      <c r="BM56" s="180">
        <v>0</v>
      </c>
      <c r="BN56" s="180">
        <f t="shared" ref="BN56" si="62">X56*53+Z56*77+AB56*30+AD56*40+AF56*75+AH56*140+AJ56*640+AL56*480+AN56*450+AP56*680+AR56*85+AT56*575+AV56*2+AX56*1.5+AZ56*1800+BB56*900+BD56*1500+BF56*1500+BH56*1500+BJ56*600+BL56*750</f>
        <v>221944</v>
      </c>
      <c r="BO56" s="180">
        <f t="shared" ref="BO56" si="63">Y56*53+AA56*77+AC56*30+AE56*40+AG56*75+AI56*140+AK56*640+AM56*480+AO56*450+AQ56*680+AS56*85+AU56*575+AW56*2+AY56*1.5+BA56*1800+BC56*900+BE56*1500+BG56*1500+BI56*1500+BK56*600+BM56*750</f>
        <v>221944</v>
      </c>
      <c r="BP56" s="177" t="s">
        <v>177</v>
      </c>
      <c r="BQ56" s="172" t="s">
        <v>270</v>
      </c>
      <c r="BR56" s="172" t="s">
        <v>177</v>
      </c>
      <c r="BS56" s="172" t="s">
        <v>250</v>
      </c>
      <c r="BT56" s="172" t="s">
        <v>438</v>
      </c>
      <c r="BU56" s="183" t="s">
        <v>222</v>
      </c>
      <c r="BV56" s="193"/>
      <c r="BW56" s="184">
        <f t="shared" si="61"/>
        <v>221944</v>
      </c>
      <c r="BX56" s="185">
        <v>46113</v>
      </c>
      <c r="BY56" s="186" t="s">
        <v>250</v>
      </c>
      <c r="BZ56" s="182" t="s">
        <v>177</v>
      </c>
    </row>
    <row r="57" spans="1:78" s="2" customFormat="1" ht="63" customHeight="1" outlineLevel="1" x14ac:dyDescent="0.25">
      <c r="A57" s="34">
        <v>53</v>
      </c>
      <c r="B57" s="172" t="s">
        <v>390</v>
      </c>
      <c r="C57" s="173">
        <v>244765</v>
      </c>
      <c r="D57" s="173">
        <v>1191065</v>
      </c>
      <c r="E57" s="174" t="s">
        <v>162</v>
      </c>
      <c r="F57" s="175">
        <v>46040</v>
      </c>
      <c r="G57" s="175">
        <f t="shared" si="0"/>
        <v>46039</v>
      </c>
      <c r="H57" s="173">
        <v>815396</v>
      </c>
      <c r="I57" s="173" t="s">
        <v>385</v>
      </c>
      <c r="J57" s="175">
        <v>46061</v>
      </c>
      <c r="K57" s="175">
        <v>46203</v>
      </c>
      <c r="L57" s="175">
        <v>46221</v>
      </c>
      <c r="M57" s="175">
        <v>46134</v>
      </c>
      <c r="N57" s="175" t="s">
        <v>240</v>
      </c>
      <c r="O57" s="179">
        <f t="shared" si="1"/>
        <v>30</v>
      </c>
      <c r="P57" s="205" t="s">
        <v>268</v>
      </c>
      <c r="Q57" s="176">
        <f t="shared" ref="Q57:Q105" si="64">M57-G57</f>
        <v>95</v>
      </c>
      <c r="R57" s="176" t="s">
        <v>269</v>
      </c>
      <c r="S57" s="177" t="s">
        <v>177</v>
      </c>
      <c r="T57" s="178" t="s">
        <v>265</v>
      </c>
      <c r="U57" s="179" t="s">
        <v>163</v>
      </c>
      <c r="V57" s="175" t="s">
        <v>349</v>
      </c>
      <c r="W57" s="179" t="s">
        <v>327</v>
      </c>
      <c r="X57" s="180">
        <v>225.05</v>
      </c>
      <c r="Y57" s="180">
        <v>225.05</v>
      </c>
      <c r="Z57" s="181"/>
      <c r="AA57" s="180"/>
      <c r="AB57" s="180">
        <v>0</v>
      </c>
      <c r="AC57" s="180">
        <v>0</v>
      </c>
      <c r="AD57" s="180">
        <v>197</v>
      </c>
      <c r="AE57" s="180">
        <v>197</v>
      </c>
      <c r="AF57" s="180">
        <v>0</v>
      </c>
      <c r="AG57" s="180">
        <v>0</v>
      </c>
      <c r="AH57" s="180">
        <v>220</v>
      </c>
      <c r="AI57" s="180">
        <v>220</v>
      </c>
      <c r="AJ57" s="180">
        <v>0</v>
      </c>
      <c r="AK57" s="180">
        <v>0</v>
      </c>
      <c r="AL57" s="180">
        <v>0</v>
      </c>
      <c r="AM57" s="180">
        <v>0</v>
      </c>
      <c r="AN57" s="180">
        <v>0</v>
      </c>
      <c r="AO57" s="180">
        <v>0</v>
      </c>
      <c r="AP57" s="180">
        <f>1+2</f>
        <v>3</v>
      </c>
      <c r="AQ57" s="180">
        <f>1+2</f>
        <v>3</v>
      </c>
      <c r="AR57" s="180">
        <v>2</v>
      </c>
      <c r="AS57" s="180">
        <v>2</v>
      </c>
      <c r="AT57" s="180">
        <v>1</v>
      </c>
      <c r="AU57" s="180">
        <v>1</v>
      </c>
      <c r="AV57" s="180">
        <v>0</v>
      </c>
      <c r="AW57" s="180">
        <v>0</v>
      </c>
      <c r="AX57" s="180">
        <v>0</v>
      </c>
      <c r="AY57" s="180">
        <v>0</v>
      </c>
      <c r="AZ57" s="180">
        <v>0</v>
      </c>
      <c r="BA57" s="180">
        <v>0</v>
      </c>
      <c r="BB57" s="180">
        <v>0</v>
      </c>
      <c r="BC57" s="180">
        <v>0</v>
      </c>
      <c r="BD57" s="180">
        <v>0</v>
      </c>
      <c r="BE57" s="180">
        <v>0</v>
      </c>
      <c r="BF57" s="180">
        <v>0</v>
      </c>
      <c r="BG57" s="180">
        <v>0</v>
      </c>
      <c r="BH57" s="180">
        <v>0</v>
      </c>
      <c r="BI57" s="180">
        <v>0</v>
      </c>
      <c r="BJ57" s="180">
        <v>0</v>
      </c>
      <c r="BK57" s="180">
        <v>0</v>
      </c>
      <c r="BL57" s="180">
        <v>0</v>
      </c>
      <c r="BM57" s="180">
        <v>0</v>
      </c>
      <c r="BN57" s="180">
        <f>X57*53+Z55*77+AB57*30+AD57*40+AF57*75+AH57*140+AJ57*640+AL57*480+AN57*450+AP57*680+AR57*85+AT57*575+AV57*2+AX57*1.5+AZ57*1800+BB57*900+BD57*1500+BF57*1500+BH57*1500+BJ57*600+BL57*750</f>
        <v>53392.65</v>
      </c>
      <c r="BO57" s="180">
        <f t="shared" si="60"/>
        <v>53392.65</v>
      </c>
      <c r="BP57" s="177" t="s">
        <v>177</v>
      </c>
      <c r="BQ57" s="172" t="s">
        <v>270</v>
      </c>
      <c r="BR57" s="172" t="s">
        <v>177</v>
      </c>
      <c r="BS57" s="172" t="s">
        <v>250</v>
      </c>
      <c r="BT57" s="172" t="s">
        <v>425</v>
      </c>
      <c r="BU57" s="183">
        <v>27</v>
      </c>
      <c r="BV57" s="193"/>
      <c r="BW57" s="184">
        <f t="shared" si="61"/>
        <v>53392.65</v>
      </c>
      <c r="BX57" s="185">
        <v>46100</v>
      </c>
      <c r="BY57" s="186" t="s">
        <v>250</v>
      </c>
      <c r="BZ57" s="182" t="s">
        <v>177</v>
      </c>
    </row>
    <row r="58" spans="1:78" s="2" customFormat="1" ht="63" customHeight="1" outlineLevel="1" x14ac:dyDescent="0.25">
      <c r="A58" s="34">
        <v>54</v>
      </c>
      <c r="B58" s="172" t="s">
        <v>207</v>
      </c>
      <c r="C58" s="173">
        <v>245374</v>
      </c>
      <c r="D58" s="173">
        <v>1194764</v>
      </c>
      <c r="E58" s="174" t="s">
        <v>171</v>
      </c>
      <c r="F58" s="175">
        <v>46048</v>
      </c>
      <c r="G58" s="175">
        <f t="shared" ref="G58:G59" si="65">F58-1</f>
        <v>46047</v>
      </c>
      <c r="H58" s="173">
        <v>816607</v>
      </c>
      <c r="I58" s="173" t="s">
        <v>385</v>
      </c>
      <c r="J58" s="175">
        <v>46072</v>
      </c>
      <c r="K58" s="175">
        <v>46240</v>
      </c>
      <c r="L58" s="175">
        <v>46229</v>
      </c>
      <c r="M58" s="175">
        <v>46127</v>
      </c>
      <c r="N58" s="175" t="s">
        <v>240</v>
      </c>
      <c r="O58" s="179">
        <f t="shared" si="1"/>
        <v>30</v>
      </c>
      <c r="P58" s="205" t="s">
        <v>268</v>
      </c>
      <c r="Q58" s="176">
        <f t="shared" si="64"/>
        <v>80</v>
      </c>
      <c r="R58" s="176" t="s">
        <v>269</v>
      </c>
      <c r="S58" s="177" t="s">
        <v>177</v>
      </c>
      <c r="T58" s="178" t="s">
        <v>265</v>
      </c>
      <c r="U58" s="179" t="s">
        <v>172</v>
      </c>
      <c r="V58" s="175" t="s">
        <v>348</v>
      </c>
      <c r="W58" s="179" t="s">
        <v>328</v>
      </c>
      <c r="X58" s="180">
        <v>241.07</v>
      </c>
      <c r="Y58" s="180">
        <v>241.07</v>
      </c>
      <c r="Z58" s="181">
        <v>0</v>
      </c>
      <c r="AA58" s="180">
        <v>0</v>
      </c>
      <c r="AB58" s="180">
        <v>0</v>
      </c>
      <c r="AC58" s="180">
        <v>0</v>
      </c>
      <c r="AD58" s="180">
        <v>0</v>
      </c>
      <c r="AE58" s="180">
        <v>0</v>
      </c>
      <c r="AF58" s="180">
        <v>0</v>
      </c>
      <c r="AG58" s="180">
        <v>0</v>
      </c>
      <c r="AH58" s="180">
        <v>0</v>
      </c>
      <c r="AI58" s="180">
        <v>0</v>
      </c>
      <c r="AJ58" s="180">
        <v>0</v>
      </c>
      <c r="AK58" s="180">
        <v>0</v>
      </c>
      <c r="AL58" s="180">
        <v>0</v>
      </c>
      <c r="AM58" s="180">
        <v>0</v>
      </c>
      <c r="AN58" s="180">
        <v>0</v>
      </c>
      <c r="AO58" s="180">
        <v>0</v>
      </c>
      <c r="AP58" s="180"/>
      <c r="AQ58" s="180">
        <v>0</v>
      </c>
      <c r="AR58" s="180">
        <v>0</v>
      </c>
      <c r="AS58" s="180">
        <v>0</v>
      </c>
      <c r="AT58" s="180">
        <v>0</v>
      </c>
      <c r="AU58" s="180">
        <v>0</v>
      </c>
      <c r="AV58" s="180">
        <v>0</v>
      </c>
      <c r="AW58" s="180">
        <v>0</v>
      </c>
      <c r="AX58" s="180">
        <v>0</v>
      </c>
      <c r="AY58" s="180">
        <v>0</v>
      </c>
      <c r="AZ58" s="180">
        <v>0</v>
      </c>
      <c r="BA58" s="180">
        <v>0</v>
      </c>
      <c r="BB58" s="180">
        <v>0</v>
      </c>
      <c r="BC58" s="180">
        <v>0</v>
      </c>
      <c r="BD58" s="180">
        <v>0</v>
      </c>
      <c r="BE58" s="180">
        <v>0</v>
      </c>
      <c r="BF58" s="180">
        <v>0</v>
      </c>
      <c r="BG58" s="180">
        <v>0</v>
      </c>
      <c r="BH58" s="180">
        <v>0</v>
      </c>
      <c r="BI58" s="180">
        <v>0</v>
      </c>
      <c r="BJ58" s="180">
        <v>0</v>
      </c>
      <c r="BK58" s="180">
        <v>0</v>
      </c>
      <c r="BL58" s="180">
        <v>0</v>
      </c>
      <c r="BM58" s="180">
        <v>0</v>
      </c>
      <c r="BN58" s="180">
        <f t="shared" ref="BN58:BN59" si="66">X58*53+Z58*77+AB58*30+AD58*40+AF58*75+AH58*140+AJ58*640+AL58*480+AN58*450+AP58*680+AR58*85+AT58*575+AV58*2+AX58*1.5+AZ58*1800+BB58*900+BD58*1500+BF58*1500+BH58*1500+BJ58*600+BL58*750</f>
        <v>12776.71</v>
      </c>
      <c r="BO58" s="180">
        <f t="shared" ref="BO58:BO59" si="67">Y58*53+AA58*77+AC58*30+AE58*40+AG58*75+AI58*140+AK58*640+AM58*480+AO58*450+AQ58*680+AS58*85+AU58*575+AW58*2+AY58*1.5+BA58*1800+BC58*900+BE58*1500+BG58*1500+BI58*1500+BK58*600+BM58*750</f>
        <v>12776.71</v>
      </c>
      <c r="BP58" s="177" t="s">
        <v>177</v>
      </c>
      <c r="BQ58" s="172" t="s">
        <v>270</v>
      </c>
      <c r="BR58" s="172" t="s">
        <v>177</v>
      </c>
      <c r="BS58" s="172" t="s">
        <v>250</v>
      </c>
      <c r="BT58" s="172" t="s">
        <v>406</v>
      </c>
      <c r="BU58" s="183" t="s">
        <v>212</v>
      </c>
      <c r="BV58" s="193" t="s">
        <v>407</v>
      </c>
      <c r="BW58" s="184">
        <f t="shared" si="61"/>
        <v>12776.71</v>
      </c>
      <c r="BX58" s="185">
        <v>46107</v>
      </c>
      <c r="BY58" s="186" t="s">
        <v>250</v>
      </c>
      <c r="BZ58" s="182" t="s">
        <v>177</v>
      </c>
    </row>
    <row r="59" spans="1:78" s="2" customFormat="1" ht="63" customHeight="1" outlineLevel="1" x14ac:dyDescent="0.25">
      <c r="A59" s="34">
        <v>55</v>
      </c>
      <c r="B59" s="172" t="s">
        <v>215</v>
      </c>
      <c r="C59" s="173">
        <v>245374</v>
      </c>
      <c r="D59" s="173">
        <v>1194764</v>
      </c>
      <c r="E59" s="174" t="s">
        <v>171</v>
      </c>
      <c r="F59" s="175">
        <v>46048</v>
      </c>
      <c r="G59" s="175">
        <f t="shared" si="65"/>
        <v>46047</v>
      </c>
      <c r="H59" s="173">
        <v>816607</v>
      </c>
      <c r="I59" s="173" t="s">
        <v>385</v>
      </c>
      <c r="J59" s="175">
        <v>46072</v>
      </c>
      <c r="K59" s="175">
        <v>46240</v>
      </c>
      <c r="L59" s="175">
        <v>46229</v>
      </c>
      <c r="M59" s="175">
        <v>46127</v>
      </c>
      <c r="N59" s="175" t="s">
        <v>240</v>
      </c>
      <c r="O59" s="179">
        <f t="shared" si="1"/>
        <v>30</v>
      </c>
      <c r="P59" s="205" t="s">
        <v>268</v>
      </c>
      <c r="Q59" s="176">
        <f t="shared" si="64"/>
        <v>80</v>
      </c>
      <c r="R59" s="176" t="s">
        <v>269</v>
      </c>
      <c r="S59" s="177" t="s">
        <v>177</v>
      </c>
      <c r="T59" s="178" t="s">
        <v>42</v>
      </c>
      <c r="U59" s="179" t="s">
        <v>172</v>
      </c>
      <c r="V59" s="175" t="s">
        <v>348</v>
      </c>
      <c r="W59" s="179" t="s">
        <v>322</v>
      </c>
      <c r="X59" s="180">
        <v>243.25</v>
      </c>
      <c r="Y59" s="180">
        <v>243.25</v>
      </c>
      <c r="Z59" s="181">
        <f>13.75*4</f>
        <v>55</v>
      </c>
      <c r="AA59" s="180">
        <f>13.75*4</f>
        <v>55</v>
      </c>
      <c r="AB59" s="180">
        <v>0</v>
      </c>
      <c r="AC59" s="180">
        <v>0</v>
      </c>
      <c r="AD59" s="180">
        <v>0</v>
      </c>
      <c r="AE59" s="180">
        <v>0</v>
      </c>
      <c r="AF59" s="180">
        <v>0</v>
      </c>
      <c r="AG59" s="180">
        <v>0</v>
      </c>
      <c r="AH59" s="180">
        <v>345</v>
      </c>
      <c r="AI59" s="180">
        <v>345</v>
      </c>
      <c r="AJ59" s="180">
        <v>0</v>
      </c>
      <c r="AK59" s="180">
        <v>0</v>
      </c>
      <c r="AL59" s="180">
        <v>0</v>
      </c>
      <c r="AM59" s="180">
        <v>0</v>
      </c>
      <c r="AN59" s="180">
        <v>0</v>
      </c>
      <c r="AO59" s="180">
        <v>0</v>
      </c>
      <c r="AP59" s="180">
        <v>3</v>
      </c>
      <c r="AQ59" s="180">
        <v>3</v>
      </c>
      <c r="AR59" s="180">
        <v>1</v>
      </c>
      <c r="AS59" s="180">
        <v>1</v>
      </c>
      <c r="AT59" s="180">
        <v>2</v>
      </c>
      <c r="AU59" s="180">
        <v>2</v>
      </c>
      <c r="AV59" s="180">
        <v>0</v>
      </c>
      <c r="AW59" s="180">
        <v>0</v>
      </c>
      <c r="AX59" s="180">
        <v>0</v>
      </c>
      <c r="AY59" s="180">
        <v>0</v>
      </c>
      <c r="AZ59" s="180">
        <v>0</v>
      </c>
      <c r="BA59" s="180">
        <v>0</v>
      </c>
      <c r="BB59" s="180">
        <v>0</v>
      </c>
      <c r="BC59" s="180">
        <v>0</v>
      </c>
      <c r="BD59" s="180">
        <v>0</v>
      </c>
      <c r="BE59" s="180">
        <v>0</v>
      </c>
      <c r="BF59" s="180">
        <v>0</v>
      </c>
      <c r="BG59" s="180">
        <v>0</v>
      </c>
      <c r="BH59" s="180">
        <v>0</v>
      </c>
      <c r="BI59" s="180">
        <v>0</v>
      </c>
      <c r="BJ59" s="180">
        <v>0</v>
      </c>
      <c r="BK59" s="180">
        <v>0</v>
      </c>
      <c r="BL59" s="180">
        <v>0</v>
      </c>
      <c r="BM59" s="180">
        <v>0</v>
      </c>
      <c r="BN59" s="180">
        <f t="shared" si="66"/>
        <v>68702.25</v>
      </c>
      <c r="BO59" s="180">
        <f t="shared" si="67"/>
        <v>68702.25</v>
      </c>
      <c r="BP59" s="177" t="s">
        <v>177</v>
      </c>
      <c r="BQ59" s="172" t="s">
        <v>270</v>
      </c>
      <c r="BR59" s="172" t="s">
        <v>177</v>
      </c>
      <c r="BS59" s="172" t="s">
        <v>250</v>
      </c>
      <c r="BT59" s="172" t="s">
        <v>443</v>
      </c>
      <c r="BU59" s="183" t="s">
        <v>215</v>
      </c>
      <c r="BV59" s="193"/>
      <c r="BW59" s="184">
        <f t="shared" si="61"/>
        <v>68702.25</v>
      </c>
      <c r="BX59" s="185">
        <v>46114</v>
      </c>
      <c r="BY59" s="186" t="s">
        <v>250</v>
      </c>
      <c r="BZ59" s="182" t="s">
        <v>177</v>
      </c>
    </row>
    <row r="60" spans="1:78" s="2" customFormat="1" ht="63" customHeight="1" outlineLevel="1" x14ac:dyDescent="0.25">
      <c r="A60" s="34">
        <v>56</v>
      </c>
      <c r="B60" s="172" t="s">
        <v>395</v>
      </c>
      <c r="C60" s="173">
        <v>245446</v>
      </c>
      <c r="D60" s="173">
        <v>1195100</v>
      </c>
      <c r="E60" s="174" t="s">
        <v>173</v>
      </c>
      <c r="F60" s="175">
        <v>46049</v>
      </c>
      <c r="G60" s="175">
        <f t="shared" ref="G60" si="68">F60-1</f>
        <v>46048</v>
      </c>
      <c r="H60" s="172" t="s">
        <v>461</v>
      </c>
      <c r="I60" s="173" t="s">
        <v>385</v>
      </c>
      <c r="J60" s="175">
        <v>46069</v>
      </c>
      <c r="K60" s="175">
        <v>46342</v>
      </c>
      <c r="L60" s="175">
        <v>46321</v>
      </c>
      <c r="M60" s="175">
        <v>46159</v>
      </c>
      <c r="N60" s="175" t="s">
        <v>240</v>
      </c>
      <c r="O60" s="179">
        <f t="shared" ref="O60" si="69">IF(N60="Backfilling",30,IF(N60="Reinstatement",20,IF(N60="Shut Down",30,IF(N60="Returned",0,""))))</f>
        <v>30</v>
      </c>
      <c r="P60" s="205" t="s">
        <v>268</v>
      </c>
      <c r="Q60" s="176">
        <f t="shared" ref="Q60:Q61" si="70">M60-G60</f>
        <v>111</v>
      </c>
      <c r="R60" s="176" t="s">
        <v>269</v>
      </c>
      <c r="S60" s="177" t="s">
        <v>177</v>
      </c>
      <c r="T60" s="178" t="s">
        <v>265</v>
      </c>
      <c r="U60" s="179" t="s">
        <v>174</v>
      </c>
      <c r="V60" s="175" t="s">
        <v>289</v>
      </c>
      <c r="W60" s="179" t="s">
        <v>322</v>
      </c>
      <c r="X60" s="180">
        <v>224.39</v>
      </c>
      <c r="Y60" s="180">
        <v>224.39</v>
      </c>
      <c r="Z60" s="181">
        <v>0</v>
      </c>
      <c r="AA60" s="180">
        <v>0</v>
      </c>
      <c r="AB60" s="180">
        <v>0</v>
      </c>
      <c r="AC60" s="180">
        <v>0</v>
      </c>
      <c r="AD60" s="180">
        <v>16</v>
      </c>
      <c r="AE60" s="180">
        <v>16</v>
      </c>
      <c r="AF60" s="180">
        <v>0</v>
      </c>
      <c r="AG60" s="180">
        <v>0</v>
      </c>
      <c r="AH60" s="180">
        <v>0</v>
      </c>
      <c r="AI60" s="180">
        <v>0</v>
      </c>
      <c r="AJ60" s="180">
        <v>0</v>
      </c>
      <c r="AK60" s="180">
        <v>0</v>
      </c>
      <c r="AL60" s="180">
        <v>0</v>
      </c>
      <c r="AM60" s="180">
        <v>0</v>
      </c>
      <c r="AN60" s="180">
        <v>0</v>
      </c>
      <c r="AO60" s="180">
        <v>0</v>
      </c>
      <c r="AP60" s="180">
        <v>1</v>
      </c>
      <c r="AQ60" s="180">
        <v>1</v>
      </c>
      <c r="AR60" s="180">
        <v>0</v>
      </c>
      <c r="AS60" s="180">
        <v>0</v>
      </c>
      <c r="AT60" s="180">
        <v>0</v>
      </c>
      <c r="AU60" s="180">
        <v>0</v>
      </c>
      <c r="AV60" s="180">
        <v>0</v>
      </c>
      <c r="AW60" s="180">
        <v>0</v>
      </c>
      <c r="AX60" s="180">
        <v>0</v>
      </c>
      <c r="AY60" s="180">
        <v>0</v>
      </c>
      <c r="AZ60" s="180">
        <v>0</v>
      </c>
      <c r="BA60" s="180">
        <v>0</v>
      </c>
      <c r="BB60" s="180">
        <v>0</v>
      </c>
      <c r="BC60" s="180">
        <v>0</v>
      </c>
      <c r="BD60" s="180">
        <v>0</v>
      </c>
      <c r="BE60" s="180">
        <v>0</v>
      </c>
      <c r="BF60" s="180">
        <v>0</v>
      </c>
      <c r="BG60" s="180">
        <v>0</v>
      </c>
      <c r="BH60" s="180">
        <v>0</v>
      </c>
      <c r="BI60" s="180">
        <v>0</v>
      </c>
      <c r="BJ60" s="180">
        <v>0</v>
      </c>
      <c r="BK60" s="180">
        <v>0</v>
      </c>
      <c r="BL60" s="180">
        <v>0</v>
      </c>
      <c r="BM60" s="180">
        <v>0</v>
      </c>
      <c r="BN60" s="180">
        <f t="shared" ref="BN60:BN65" si="71">X60*53+Z60*77+AB60*30+AD60*40+AF60*75+AH60*140+AJ60*640+AL60*480+AN60*450+AP60*680+AR60*85+AT60*575+AV60*2+AX60*1.5+AZ60*1800+BB60*900+BD60*1500+BF60*1500+BH60*1500+BJ60*600+BL60*750</f>
        <v>13212.67</v>
      </c>
      <c r="BO60" s="180">
        <f t="shared" ref="BO60:BO65" si="72">Y60*53+AA60*77+AC60*30+AE60*40+AG60*75+AI60*140+AK60*640+AM60*480+AO60*450+AQ60*680+AS60*85+AU60*575+AW60*2+AY60*1.5+BA60*1800+BC60*900+BE60*1500+BG60*1500+BI60*1500+BK60*600+BM60*750</f>
        <v>13212.67</v>
      </c>
      <c r="BP60" s="177" t="s">
        <v>177</v>
      </c>
      <c r="BQ60" s="172" t="s">
        <v>265</v>
      </c>
      <c r="BR60" s="172" t="s">
        <v>177</v>
      </c>
      <c r="BS60" s="172" t="s">
        <v>250</v>
      </c>
      <c r="BT60" s="172" t="s">
        <v>438</v>
      </c>
      <c r="BU60" s="183" t="s">
        <v>395</v>
      </c>
      <c r="BV60" s="193"/>
      <c r="BW60" s="184">
        <f>BO60</f>
        <v>13212.67</v>
      </c>
      <c r="BX60" s="185">
        <v>46147</v>
      </c>
      <c r="BY60" s="186" t="s">
        <v>250</v>
      </c>
      <c r="BZ60" s="182" t="s">
        <v>177</v>
      </c>
    </row>
    <row r="61" spans="1:78" s="2" customFormat="1" ht="63" customHeight="1" outlineLevel="1" x14ac:dyDescent="0.25">
      <c r="A61" s="34">
        <v>57</v>
      </c>
      <c r="B61" s="105" t="s">
        <v>455</v>
      </c>
      <c r="C61" s="106">
        <v>245446</v>
      </c>
      <c r="D61" s="106">
        <v>1195100</v>
      </c>
      <c r="E61" s="107" t="s">
        <v>173</v>
      </c>
      <c r="F61" s="108">
        <v>46049</v>
      </c>
      <c r="G61" s="108">
        <v>46048</v>
      </c>
      <c r="H61" s="104" t="s">
        <v>461</v>
      </c>
      <c r="I61" s="106" t="s">
        <v>385</v>
      </c>
      <c r="J61" s="108">
        <v>46069</v>
      </c>
      <c r="K61" s="108">
        <v>46342</v>
      </c>
      <c r="L61" s="108">
        <v>46321</v>
      </c>
      <c r="M61" s="108">
        <f t="shared" ca="1" si="32"/>
        <v>46277</v>
      </c>
      <c r="N61" s="108" t="s">
        <v>240</v>
      </c>
      <c r="O61" s="187">
        <v>30</v>
      </c>
      <c r="P61" s="206" t="s">
        <v>268</v>
      </c>
      <c r="Q61" s="109">
        <f t="shared" ca="1" si="70"/>
        <v>229</v>
      </c>
      <c r="R61" s="159" t="s">
        <v>269</v>
      </c>
      <c r="S61" s="119" t="s">
        <v>157</v>
      </c>
      <c r="T61" s="111" t="s">
        <v>42</v>
      </c>
      <c r="U61" s="112" t="s">
        <v>174</v>
      </c>
      <c r="V61" s="104" t="s">
        <v>289</v>
      </c>
      <c r="W61" s="163" t="s">
        <v>322</v>
      </c>
      <c r="X61" s="113">
        <v>0</v>
      </c>
      <c r="Y61" s="113">
        <v>0</v>
      </c>
      <c r="Z61" s="114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>
        <v>1</v>
      </c>
      <c r="AM61" s="113">
        <v>1</v>
      </c>
      <c r="AN61" s="113">
        <v>1</v>
      </c>
      <c r="AO61" s="113">
        <v>1</v>
      </c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>
        <f t="shared" si="71"/>
        <v>930</v>
      </c>
      <c r="BO61" s="113">
        <f t="shared" si="72"/>
        <v>930</v>
      </c>
      <c r="BP61" s="115" t="s">
        <v>3</v>
      </c>
      <c r="BQ61" s="104" t="s">
        <v>42</v>
      </c>
      <c r="BR61" s="104" t="s">
        <v>42</v>
      </c>
      <c r="BS61" s="104" t="s">
        <v>42</v>
      </c>
      <c r="BT61" s="104" t="s">
        <v>42</v>
      </c>
      <c r="BU61" s="116" t="s">
        <v>430</v>
      </c>
      <c r="BV61" s="191"/>
      <c r="BW61" s="117"/>
      <c r="BX61" s="118">
        <v>46189</v>
      </c>
      <c r="BY61" s="152" t="s">
        <v>42</v>
      </c>
      <c r="BZ61" s="115" t="s">
        <v>3</v>
      </c>
    </row>
    <row r="62" spans="1:78" s="86" customFormat="1" ht="63" customHeight="1" outlineLevel="1" x14ac:dyDescent="0.25">
      <c r="A62" s="34">
        <v>58</v>
      </c>
      <c r="B62" s="104" t="s">
        <v>442</v>
      </c>
      <c r="C62" s="106">
        <v>245446</v>
      </c>
      <c r="D62" s="106">
        <v>1195100</v>
      </c>
      <c r="E62" s="107" t="s">
        <v>173</v>
      </c>
      <c r="F62" s="108">
        <v>46049</v>
      </c>
      <c r="G62" s="108">
        <v>46048</v>
      </c>
      <c r="H62" s="104" t="s">
        <v>461</v>
      </c>
      <c r="I62" s="106" t="s">
        <v>385</v>
      </c>
      <c r="J62" s="108">
        <v>46069</v>
      </c>
      <c r="K62" s="108">
        <v>46342</v>
      </c>
      <c r="L62" s="108">
        <v>46321</v>
      </c>
      <c r="M62" s="108">
        <f t="shared" ca="1" si="32"/>
        <v>46277</v>
      </c>
      <c r="N62" s="108" t="s">
        <v>240</v>
      </c>
      <c r="O62" s="112">
        <v>30</v>
      </c>
      <c r="P62" s="206" t="s">
        <v>268</v>
      </c>
      <c r="Q62" s="109">
        <f t="shared" ref="Q62" ca="1" si="73">M62-G62</f>
        <v>229</v>
      </c>
      <c r="R62" s="109" t="s">
        <v>269</v>
      </c>
      <c r="S62" s="110" t="s">
        <v>157</v>
      </c>
      <c r="T62" s="111" t="s">
        <v>42</v>
      </c>
      <c r="U62" s="112" t="s">
        <v>174</v>
      </c>
      <c r="V62" s="108" t="s">
        <v>289</v>
      </c>
      <c r="W62" s="112" t="s">
        <v>322</v>
      </c>
      <c r="X62" s="113">
        <v>548</v>
      </c>
      <c r="Y62" s="113">
        <v>548</v>
      </c>
      <c r="Z62" s="114"/>
      <c r="AA62" s="113"/>
      <c r="AB62" s="113"/>
      <c r="AC62" s="113"/>
      <c r="AD62" s="113"/>
      <c r="AE62" s="113"/>
      <c r="AF62" s="113">
        <f>20+40</f>
        <v>60</v>
      </c>
      <c r="AG62" s="113">
        <f>20+40</f>
        <v>60</v>
      </c>
      <c r="AH62" s="113"/>
      <c r="AI62" s="113"/>
      <c r="AJ62" s="113"/>
      <c r="AK62" s="113"/>
      <c r="AL62" s="113"/>
      <c r="AM62" s="113"/>
      <c r="AN62" s="113"/>
      <c r="AO62" s="113"/>
      <c r="AP62" s="113">
        <v>7</v>
      </c>
      <c r="AQ62" s="113">
        <v>7</v>
      </c>
      <c r="AR62" s="113">
        <v>4</v>
      </c>
      <c r="AS62" s="113">
        <v>4</v>
      </c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>
        <f t="shared" si="71"/>
        <v>38644</v>
      </c>
      <c r="BO62" s="113">
        <f t="shared" si="72"/>
        <v>38644</v>
      </c>
      <c r="BP62" s="115" t="s">
        <v>3</v>
      </c>
      <c r="BQ62" s="104" t="s">
        <v>42</v>
      </c>
      <c r="BR62" s="104" t="s">
        <v>42</v>
      </c>
      <c r="BS62" s="104" t="s">
        <v>42</v>
      </c>
      <c r="BT62" s="104" t="s">
        <v>42</v>
      </c>
      <c r="BU62" s="116" t="s">
        <v>442</v>
      </c>
      <c r="BV62" s="191"/>
      <c r="BW62" s="117"/>
      <c r="BX62" s="134">
        <v>46223</v>
      </c>
      <c r="BY62" s="152" t="s">
        <v>42</v>
      </c>
      <c r="BZ62" s="115" t="s">
        <v>3</v>
      </c>
    </row>
    <row r="63" spans="1:78" s="86" customFormat="1" ht="63" customHeight="1" outlineLevel="1" x14ac:dyDescent="0.25">
      <c r="A63" s="34">
        <v>59</v>
      </c>
      <c r="B63" s="104" t="s">
        <v>448</v>
      </c>
      <c r="C63" s="106">
        <v>245446</v>
      </c>
      <c r="D63" s="106">
        <v>1195100</v>
      </c>
      <c r="E63" s="107" t="s">
        <v>173</v>
      </c>
      <c r="F63" s="108">
        <v>46049</v>
      </c>
      <c r="G63" s="108">
        <v>46048</v>
      </c>
      <c r="H63" s="104" t="s">
        <v>461</v>
      </c>
      <c r="I63" s="106" t="s">
        <v>385</v>
      </c>
      <c r="J63" s="108">
        <v>46069</v>
      </c>
      <c r="K63" s="108">
        <v>46342</v>
      </c>
      <c r="L63" s="108">
        <v>46321</v>
      </c>
      <c r="M63" s="108">
        <f t="shared" ca="1" si="32"/>
        <v>46277</v>
      </c>
      <c r="N63" s="108" t="s">
        <v>240</v>
      </c>
      <c r="O63" s="112">
        <v>30</v>
      </c>
      <c r="P63" s="206" t="s">
        <v>268</v>
      </c>
      <c r="Q63" s="109">
        <f t="shared" ref="Q63" ca="1" si="74">M63-G63</f>
        <v>229</v>
      </c>
      <c r="R63" s="109" t="s">
        <v>269</v>
      </c>
      <c r="S63" s="110" t="s">
        <v>157</v>
      </c>
      <c r="T63" s="111" t="s">
        <v>42</v>
      </c>
      <c r="U63" s="112" t="s">
        <v>174</v>
      </c>
      <c r="V63" s="108" t="s">
        <v>289</v>
      </c>
      <c r="W63" s="112" t="s">
        <v>322</v>
      </c>
      <c r="X63" s="113">
        <v>176</v>
      </c>
      <c r="Y63" s="113">
        <v>176</v>
      </c>
      <c r="Z63" s="114"/>
      <c r="AA63" s="113"/>
      <c r="AB63" s="113"/>
      <c r="AC63" s="113"/>
      <c r="AD63" s="113">
        <v>176</v>
      </c>
      <c r="AE63" s="113">
        <v>176</v>
      </c>
      <c r="AF63" s="113">
        <v>0</v>
      </c>
      <c r="AG63" s="113">
        <v>0</v>
      </c>
      <c r="AH63" s="113">
        <v>0</v>
      </c>
      <c r="AI63" s="113">
        <v>0</v>
      </c>
      <c r="AJ63" s="113">
        <f>14*2</f>
        <v>28</v>
      </c>
      <c r="AK63" s="113">
        <f>14*2</f>
        <v>28</v>
      </c>
      <c r="AL63" s="113">
        <v>0</v>
      </c>
      <c r="AM63" s="113">
        <v>0</v>
      </c>
      <c r="AN63" s="113">
        <v>0</v>
      </c>
      <c r="AO63" s="113">
        <v>0</v>
      </c>
      <c r="AP63" s="113">
        <v>4</v>
      </c>
      <c r="AQ63" s="113">
        <v>4</v>
      </c>
      <c r="AR63" s="113">
        <v>4</v>
      </c>
      <c r="AS63" s="113">
        <v>4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f t="shared" si="71"/>
        <v>37348</v>
      </c>
      <c r="BO63" s="113">
        <f t="shared" si="72"/>
        <v>37348</v>
      </c>
      <c r="BP63" s="115" t="s">
        <v>3</v>
      </c>
      <c r="BQ63" s="104" t="s">
        <v>42</v>
      </c>
      <c r="BR63" s="104" t="s">
        <v>42</v>
      </c>
      <c r="BS63" s="104" t="s">
        <v>42</v>
      </c>
      <c r="BT63" s="104" t="s">
        <v>42</v>
      </c>
      <c r="BU63" s="116" t="s">
        <v>448</v>
      </c>
      <c r="BV63" s="191"/>
      <c r="BW63" s="117"/>
      <c r="BX63" s="134">
        <v>46229</v>
      </c>
      <c r="BY63" s="152" t="s">
        <v>42</v>
      </c>
      <c r="BZ63" s="115" t="s">
        <v>3</v>
      </c>
    </row>
    <row r="64" spans="1:78" s="86" customFormat="1" ht="63" customHeight="1" outlineLevel="1" x14ac:dyDescent="0.25">
      <c r="A64" s="34">
        <v>60</v>
      </c>
      <c r="B64" s="104" t="s">
        <v>463</v>
      </c>
      <c r="C64" s="106">
        <v>245446</v>
      </c>
      <c r="D64" s="106">
        <v>1195100</v>
      </c>
      <c r="E64" s="107" t="s">
        <v>173</v>
      </c>
      <c r="F64" s="108">
        <v>46049</v>
      </c>
      <c r="G64" s="108">
        <v>46048</v>
      </c>
      <c r="H64" s="104" t="s">
        <v>461</v>
      </c>
      <c r="I64" s="106" t="s">
        <v>385</v>
      </c>
      <c r="J64" s="108">
        <v>46069</v>
      </c>
      <c r="K64" s="108">
        <v>46342</v>
      </c>
      <c r="L64" s="108">
        <v>46321</v>
      </c>
      <c r="M64" s="108">
        <f t="shared" ca="1" si="32"/>
        <v>46277</v>
      </c>
      <c r="N64" s="108" t="s">
        <v>240</v>
      </c>
      <c r="O64" s="112">
        <v>30</v>
      </c>
      <c r="P64" s="206" t="s">
        <v>268</v>
      </c>
      <c r="Q64" s="109">
        <f t="shared" ref="Q64" ca="1" si="75">M64-G64</f>
        <v>229</v>
      </c>
      <c r="R64" s="109" t="s">
        <v>269</v>
      </c>
      <c r="S64" s="110" t="s">
        <v>157</v>
      </c>
      <c r="T64" s="111" t="s">
        <v>42</v>
      </c>
      <c r="U64" s="112" t="s">
        <v>174</v>
      </c>
      <c r="V64" s="108" t="s">
        <v>289</v>
      </c>
      <c r="W64" s="112" t="s">
        <v>322</v>
      </c>
      <c r="X64" s="113">
        <v>57</v>
      </c>
      <c r="Y64" s="113">
        <v>57</v>
      </c>
      <c r="Z64" s="114"/>
      <c r="AA64" s="113"/>
      <c r="AB64" s="113"/>
      <c r="AC64" s="113"/>
      <c r="AD64" s="113"/>
      <c r="AE64" s="113"/>
      <c r="AF64" s="113">
        <f>36+28</f>
        <v>64</v>
      </c>
      <c r="AG64" s="113">
        <f>36+28</f>
        <v>64</v>
      </c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>
        <f t="shared" si="71"/>
        <v>7821</v>
      </c>
      <c r="BO64" s="113">
        <f t="shared" si="72"/>
        <v>7821</v>
      </c>
      <c r="BP64" s="115" t="s">
        <v>3</v>
      </c>
      <c r="BQ64" s="104" t="s">
        <v>42</v>
      </c>
      <c r="BR64" s="104" t="s">
        <v>42</v>
      </c>
      <c r="BS64" s="104" t="s">
        <v>42</v>
      </c>
      <c r="BT64" s="104" t="s">
        <v>42</v>
      </c>
      <c r="BU64" s="116" t="s">
        <v>463</v>
      </c>
      <c r="BV64" s="191"/>
      <c r="BW64" s="117"/>
      <c r="BX64" s="118">
        <v>46252</v>
      </c>
      <c r="BY64" s="152" t="s">
        <v>42</v>
      </c>
      <c r="BZ64" s="115" t="s">
        <v>3</v>
      </c>
    </row>
    <row r="65" spans="1:78" s="86" customFormat="1" ht="63" customHeight="1" outlineLevel="1" x14ac:dyDescent="0.25">
      <c r="A65" s="34">
        <v>61</v>
      </c>
      <c r="B65" s="104" t="s">
        <v>471</v>
      </c>
      <c r="C65" s="106">
        <v>245446</v>
      </c>
      <c r="D65" s="106">
        <v>1195100</v>
      </c>
      <c r="E65" s="107" t="s">
        <v>173</v>
      </c>
      <c r="F65" s="108">
        <v>46049</v>
      </c>
      <c r="G65" s="108">
        <v>46048</v>
      </c>
      <c r="H65" s="104" t="s">
        <v>461</v>
      </c>
      <c r="I65" s="106" t="s">
        <v>385</v>
      </c>
      <c r="J65" s="108">
        <v>46069</v>
      </c>
      <c r="K65" s="108">
        <v>46342</v>
      </c>
      <c r="L65" s="108">
        <v>46321</v>
      </c>
      <c r="M65" s="108">
        <f t="shared" ca="1" si="32"/>
        <v>46277</v>
      </c>
      <c r="N65" s="108" t="s">
        <v>240</v>
      </c>
      <c r="O65" s="112">
        <v>30</v>
      </c>
      <c r="P65" s="206" t="s">
        <v>268</v>
      </c>
      <c r="Q65" s="109">
        <f t="shared" ref="Q65" ca="1" si="76">M65-G65</f>
        <v>229</v>
      </c>
      <c r="R65" s="109" t="s">
        <v>269</v>
      </c>
      <c r="S65" s="110" t="s">
        <v>157</v>
      </c>
      <c r="T65" s="111" t="s">
        <v>42</v>
      </c>
      <c r="U65" s="112" t="s">
        <v>174</v>
      </c>
      <c r="V65" s="108" t="s">
        <v>289</v>
      </c>
      <c r="W65" s="112" t="s">
        <v>322</v>
      </c>
      <c r="X65" s="113">
        <v>138</v>
      </c>
      <c r="Y65" s="113">
        <v>138</v>
      </c>
      <c r="Z65" s="114">
        <v>0</v>
      </c>
      <c r="AA65" s="113">
        <v>0</v>
      </c>
      <c r="AB65" s="113">
        <v>0</v>
      </c>
      <c r="AC65" s="113">
        <v>0</v>
      </c>
      <c r="AD65" s="113">
        <v>0</v>
      </c>
      <c r="AE65" s="113">
        <v>0</v>
      </c>
      <c r="AF65" s="113">
        <v>0</v>
      </c>
      <c r="AG65" s="113">
        <v>0</v>
      </c>
      <c r="AH65" s="113">
        <v>0</v>
      </c>
      <c r="AI65" s="113">
        <v>0</v>
      </c>
      <c r="AJ65" s="113">
        <v>0</v>
      </c>
      <c r="AK65" s="113">
        <v>0</v>
      </c>
      <c r="AL65" s="113">
        <v>1</v>
      </c>
      <c r="AM65" s="113">
        <v>1</v>
      </c>
      <c r="AN65" s="113">
        <v>1</v>
      </c>
      <c r="AO65" s="113">
        <v>1</v>
      </c>
      <c r="AP65" s="113">
        <f>3+6+2+2+3+1+2</f>
        <v>19</v>
      </c>
      <c r="AQ65" s="113">
        <f>3+6+2+2+3+1+2</f>
        <v>19</v>
      </c>
      <c r="AR65" s="113">
        <f>3+6+2+3+2</f>
        <v>16</v>
      </c>
      <c r="AS65" s="113">
        <v>16</v>
      </c>
      <c r="AT65" s="113">
        <v>6</v>
      </c>
      <c r="AU65" s="113">
        <v>6</v>
      </c>
      <c r="AV65" s="113">
        <v>0</v>
      </c>
      <c r="AW65" s="113">
        <v>0</v>
      </c>
      <c r="AX65" s="113">
        <v>0</v>
      </c>
      <c r="AY65" s="113">
        <v>0</v>
      </c>
      <c r="AZ65" s="113">
        <v>0</v>
      </c>
      <c r="BA65" s="113">
        <v>0</v>
      </c>
      <c r="BB65" s="113">
        <v>0</v>
      </c>
      <c r="BC65" s="113">
        <v>0</v>
      </c>
      <c r="BD65" s="113">
        <v>0</v>
      </c>
      <c r="BE65" s="113">
        <v>0</v>
      </c>
      <c r="BF65" s="113">
        <v>0</v>
      </c>
      <c r="BG65" s="113">
        <v>0</v>
      </c>
      <c r="BH65" s="113">
        <v>0</v>
      </c>
      <c r="BI65" s="113">
        <v>0</v>
      </c>
      <c r="BJ65" s="113">
        <v>0</v>
      </c>
      <c r="BK65" s="113">
        <v>0</v>
      </c>
      <c r="BL65" s="113">
        <v>0</v>
      </c>
      <c r="BM65" s="113"/>
      <c r="BN65" s="113">
        <f t="shared" si="71"/>
        <v>25974</v>
      </c>
      <c r="BO65" s="113">
        <f t="shared" si="72"/>
        <v>25974</v>
      </c>
      <c r="BP65" s="115" t="s">
        <v>3</v>
      </c>
      <c r="BQ65" s="104" t="s">
        <v>42</v>
      </c>
      <c r="BR65" s="104" t="s">
        <v>42</v>
      </c>
      <c r="BS65" s="104" t="s">
        <v>42</v>
      </c>
      <c r="BT65" s="104" t="s">
        <v>42</v>
      </c>
      <c r="BU65" s="116" t="s">
        <v>471</v>
      </c>
      <c r="BV65" s="191"/>
      <c r="BW65" s="117"/>
      <c r="BX65" s="118">
        <v>46264</v>
      </c>
      <c r="BY65" s="152" t="s">
        <v>42</v>
      </c>
      <c r="BZ65" s="115" t="s">
        <v>3</v>
      </c>
    </row>
    <row r="66" spans="1:78" s="2" customFormat="1" ht="63" customHeight="1" outlineLevel="1" x14ac:dyDescent="0.25">
      <c r="A66" s="34">
        <v>62</v>
      </c>
      <c r="B66" s="138">
        <v>30</v>
      </c>
      <c r="C66" s="139">
        <v>246090</v>
      </c>
      <c r="D66" s="139">
        <v>1199102</v>
      </c>
      <c r="E66" s="140" t="s">
        <v>179</v>
      </c>
      <c r="F66" s="141">
        <v>46062</v>
      </c>
      <c r="G66" s="141">
        <f t="shared" si="0"/>
        <v>46061</v>
      </c>
      <c r="H66" s="139" t="s">
        <v>42</v>
      </c>
      <c r="I66" s="139" t="s">
        <v>42</v>
      </c>
      <c r="J66" s="141" t="s">
        <v>42</v>
      </c>
      <c r="K66" s="141" t="s">
        <v>42</v>
      </c>
      <c r="L66" s="141">
        <v>46242</v>
      </c>
      <c r="M66" s="141">
        <f t="shared" ca="1" si="32"/>
        <v>46277</v>
      </c>
      <c r="N66" s="141" t="s">
        <v>42</v>
      </c>
      <c r="O66" s="188" t="str">
        <f t="shared" si="1"/>
        <v/>
      </c>
      <c r="P66" s="208" t="s">
        <v>268</v>
      </c>
      <c r="Q66" s="142">
        <f t="shared" ca="1" si="64"/>
        <v>216</v>
      </c>
      <c r="R66" s="142" t="s">
        <v>269</v>
      </c>
      <c r="S66" s="143" t="s">
        <v>190</v>
      </c>
      <c r="T66" s="140" t="s">
        <v>42</v>
      </c>
      <c r="U66" s="144" t="s">
        <v>89</v>
      </c>
      <c r="V66" s="137" t="s">
        <v>347</v>
      </c>
      <c r="W66" s="165" t="s">
        <v>315</v>
      </c>
      <c r="X66" s="145">
        <v>15</v>
      </c>
      <c r="Y66" s="145">
        <v>0</v>
      </c>
      <c r="Z66" s="146">
        <v>0</v>
      </c>
      <c r="AA66" s="145">
        <v>0</v>
      </c>
      <c r="AB66" s="145">
        <v>0</v>
      </c>
      <c r="AC66" s="145">
        <v>0</v>
      </c>
      <c r="AD66" s="145">
        <v>0</v>
      </c>
      <c r="AE66" s="145">
        <v>0</v>
      </c>
      <c r="AF66" s="145">
        <v>0</v>
      </c>
      <c r="AG66" s="145">
        <v>0</v>
      </c>
      <c r="AH66" s="145">
        <v>0</v>
      </c>
      <c r="AI66" s="145">
        <v>0</v>
      </c>
      <c r="AJ66" s="145">
        <v>0</v>
      </c>
      <c r="AK66" s="145">
        <v>0</v>
      </c>
      <c r="AL66" s="145">
        <v>0</v>
      </c>
      <c r="AM66" s="145">
        <v>0</v>
      </c>
      <c r="AN66" s="145">
        <v>0</v>
      </c>
      <c r="AO66" s="145">
        <v>0</v>
      </c>
      <c r="AP66" s="145">
        <v>5</v>
      </c>
      <c r="AQ66" s="145">
        <v>0</v>
      </c>
      <c r="AR66" s="145">
        <v>5</v>
      </c>
      <c r="AS66" s="145">
        <v>0</v>
      </c>
      <c r="AT66" s="145">
        <v>5</v>
      </c>
      <c r="AU66" s="145">
        <v>0</v>
      </c>
      <c r="AV66" s="145">
        <v>0</v>
      </c>
      <c r="AW66" s="145">
        <v>0</v>
      </c>
      <c r="AX66" s="145">
        <v>0</v>
      </c>
      <c r="AY66" s="145">
        <v>0</v>
      </c>
      <c r="AZ66" s="145">
        <v>0</v>
      </c>
      <c r="BA66" s="145">
        <v>0</v>
      </c>
      <c r="BB66" s="145">
        <v>0</v>
      </c>
      <c r="BC66" s="145">
        <v>0</v>
      </c>
      <c r="BD66" s="145">
        <v>0</v>
      </c>
      <c r="BE66" s="145">
        <v>0</v>
      </c>
      <c r="BF66" s="145">
        <v>0</v>
      </c>
      <c r="BG66" s="145">
        <v>0</v>
      </c>
      <c r="BH66" s="145">
        <v>0</v>
      </c>
      <c r="BI66" s="145">
        <v>0</v>
      </c>
      <c r="BJ66" s="145">
        <v>0</v>
      </c>
      <c r="BK66" s="145">
        <v>0</v>
      </c>
      <c r="BL66" s="145">
        <v>0</v>
      </c>
      <c r="BM66" s="145">
        <v>0</v>
      </c>
      <c r="BN66" s="145">
        <f t="shared" si="2"/>
        <v>7495</v>
      </c>
      <c r="BO66" s="145">
        <f t="shared" si="60"/>
        <v>0</v>
      </c>
      <c r="BP66" s="138" t="s">
        <v>42</v>
      </c>
      <c r="BQ66" s="137" t="s">
        <v>42</v>
      </c>
      <c r="BR66" s="137" t="s">
        <v>42</v>
      </c>
      <c r="BS66" s="137" t="s">
        <v>157</v>
      </c>
      <c r="BT66" s="137" t="s">
        <v>42</v>
      </c>
      <c r="BU66" s="147">
        <v>30</v>
      </c>
      <c r="BV66" s="195"/>
      <c r="BW66" s="148">
        <v>0</v>
      </c>
      <c r="BX66" s="149" t="s">
        <v>156</v>
      </c>
      <c r="BY66" s="154" t="s">
        <v>42</v>
      </c>
      <c r="BZ66" s="137" t="s">
        <v>190</v>
      </c>
    </row>
    <row r="67" spans="1:78" s="2" customFormat="1" ht="63" customHeight="1" outlineLevel="1" x14ac:dyDescent="0.25">
      <c r="A67" s="34">
        <v>63</v>
      </c>
      <c r="B67" s="172" t="s">
        <v>364</v>
      </c>
      <c r="C67" s="173">
        <v>246091</v>
      </c>
      <c r="D67" s="173">
        <v>1199104</v>
      </c>
      <c r="E67" s="174" t="s">
        <v>180</v>
      </c>
      <c r="F67" s="175">
        <v>46062</v>
      </c>
      <c r="G67" s="175">
        <v>46061</v>
      </c>
      <c r="H67" s="173">
        <v>817500</v>
      </c>
      <c r="I67" s="173" t="s">
        <v>385</v>
      </c>
      <c r="J67" s="175">
        <v>46084</v>
      </c>
      <c r="K67" s="175">
        <v>46254</v>
      </c>
      <c r="L67" s="175">
        <v>46242</v>
      </c>
      <c r="M67" s="175">
        <v>46142</v>
      </c>
      <c r="N67" s="175" t="s">
        <v>240</v>
      </c>
      <c r="O67" s="179">
        <f t="shared" si="1"/>
        <v>30</v>
      </c>
      <c r="P67" s="205" t="s">
        <v>268</v>
      </c>
      <c r="Q67" s="176">
        <v>70</v>
      </c>
      <c r="R67" s="176" t="s">
        <v>269</v>
      </c>
      <c r="S67" s="177" t="s">
        <v>177</v>
      </c>
      <c r="T67" s="178" t="s">
        <v>265</v>
      </c>
      <c r="U67" s="179" t="s">
        <v>365</v>
      </c>
      <c r="V67" s="175" t="s">
        <v>291</v>
      </c>
      <c r="W67" s="179" t="s">
        <v>316</v>
      </c>
      <c r="X67" s="180">
        <v>478.91</v>
      </c>
      <c r="Y67" s="180">
        <v>478.91</v>
      </c>
      <c r="Z67" s="181">
        <v>0</v>
      </c>
      <c r="AA67" s="180">
        <v>0</v>
      </c>
      <c r="AB67" s="180">
        <v>0</v>
      </c>
      <c r="AC67" s="180">
        <v>0</v>
      </c>
      <c r="AD67" s="180">
        <v>0</v>
      </c>
      <c r="AE67" s="180">
        <v>0</v>
      </c>
      <c r="AF67" s="180">
        <v>0</v>
      </c>
      <c r="AG67" s="180">
        <v>0</v>
      </c>
      <c r="AH67" s="180">
        <v>0</v>
      </c>
      <c r="AI67" s="180">
        <v>0</v>
      </c>
      <c r="AJ67" s="180">
        <v>0</v>
      </c>
      <c r="AK67" s="180">
        <v>0</v>
      </c>
      <c r="AL67" s="180">
        <v>0</v>
      </c>
      <c r="AM67" s="180">
        <v>0</v>
      </c>
      <c r="AN67" s="180">
        <v>0</v>
      </c>
      <c r="AO67" s="180">
        <v>0</v>
      </c>
      <c r="AP67" s="180">
        <v>1</v>
      </c>
      <c r="AQ67" s="180">
        <v>1</v>
      </c>
      <c r="AR67" s="180">
        <v>0</v>
      </c>
      <c r="AS67" s="180">
        <v>0</v>
      </c>
      <c r="AT67" s="180">
        <v>0</v>
      </c>
      <c r="AU67" s="180">
        <v>0</v>
      </c>
      <c r="AV67" s="180">
        <v>0</v>
      </c>
      <c r="AW67" s="180">
        <v>0</v>
      </c>
      <c r="AX67" s="180">
        <v>0</v>
      </c>
      <c r="AY67" s="180">
        <v>0</v>
      </c>
      <c r="AZ67" s="180">
        <v>0</v>
      </c>
      <c r="BA67" s="180">
        <v>0</v>
      </c>
      <c r="BB67" s="180">
        <v>0</v>
      </c>
      <c r="BC67" s="180">
        <v>0</v>
      </c>
      <c r="BD67" s="180">
        <v>0</v>
      </c>
      <c r="BE67" s="180">
        <v>0</v>
      </c>
      <c r="BF67" s="180">
        <v>0</v>
      </c>
      <c r="BG67" s="180">
        <v>0</v>
      </c>
      <c r="BH67" s="180">
        <v>0</v>
      </c>
      <c r="BI67" s="180">
        <v>0</v>
      </c>
      <c r="BJ67" s="180">
        <v>0</v>
      </c>
      <c r="BK67" s="180">
        <v>0</v>
      </c>
      <c r="BL67" s="180">
        <v>0</v>
      </c>
      <c r="BM67" s="180">
        <v>0</v>
      </c>
      <c r="BN67" s="180">
        <f t="shared" si="2"/>
        <v>26062.23</v>
      </c>
      <c r="BO67" s="180">
        <f>Y67*53+AA67*77+AC67*30+AE67*40+AG67*75+AI67*140+AK67*640+AM67*480+AO67*450+AQ67*680+AS67*85+AU67*575+AW67*2+AY67*1.5+BA67*1800+BC67*900+BE67*1500+BG67*1500+BI67*1500+BK67*600+BM67*750</f>
        <v>26062.23</v>
      </c>
      <c r="BP67" s="177" t="s">
        <v>177</v>
      </c>
      <c r="BQ67" s="172" t="s">
        <v>270</v>
      </c>
      <c r="BR67" s="172" t="s">
        <v>177</v>
      </c>
      <c r="BS67" s="172" t="s">
        <v>250</v>
      </c>
      <c r="BT67" s="172" t="s">
        <v>425</v>
      </c>
      <c r="BU67" s="183" t="s">
        <v>366</v>
      </c>
      <c r="BV67" s="193"/>
      <c r="BW67" s="184">
        <f t="shared" ref="BW67:BW69" si="77">BO67</f>
        <v>26062.23</v>
      </c>
      <c r="BX67" s="185">
        <v>46126</v>
      </c>
      <c r="BY67" s="186" t="s">
        <v>250</v>
      </c>
      <c r="BZ67" s="182" t="s">
        <v>177</v>
      </c>
    </row>
    <row r="68" spans="1:78" s="2" customFormat="1" ht="63" customHeight="1" outlineLevel="1" x14ac:dyDescent="0.25">
      <c r="A68" s="34">
        <v>64</v>
      </c>
      <c r="B68" s="172" t="s">
        <v>397</v>
      </c>
      <c r="C68" s="173">
        <v>246091</v>
      </c>
      <c r="D68" s="173">
        <v>1199104</v>
      </c>
      <c r="E68" s="174" t="s">
        <v>180</v>
      </c>
      <c r="F68" s="175">
        <v>46062</v>
      </c>
      <c r="G68" s="175">
        <v>46061</v>
      </c>
      <c r="H68" s="173">
        <v>817500</v>
      </c>
      <c r="I68" s="173" t="s">
        <v>385</v>
      </c>
      <c r="J68" s="175">
        <v>46084</v>
      </c>
      <c r="K68" s="175">
        <v>46254</v>
      </c>
      <c r="L68" s="175">
        <v>46242</v>
      </c>
      <c r="M68" s="175">
        <v>46153</v>
      </c>
      <c r="N68" s="175" t="s">
        <v>240</v>
      </c>
      <c r="O68" s="179">
        <f t="shared" si="1"/>
        <v>30</v>
      </c>
      <c r="P68" s="205" t="s">
        <v>268</v>
      </c>
      <c r="Q68" s="176">
        <v>70</v>
      </c>
      <c r="R68" s="176" t="s">
        <v>269</v>
      </c>
      <c r="S68" s="177" t="s">
        <v>177</v>
      </c>
      <c r="T68" s="178" t="s">
        <v>265</v>
      </c>
      <c r="U68" s="179" t="s">
        <v>365</v>
      </c>
      <c r="V68" s="175" t="s">
        <v>291</v>
      </c>
      <c r="W68" s="179" t="s">
        <v>316</v>
      </c>
      <c r="X68" s="180">
        <v>566.65</v>
      </c>
      <c r="Y68" s="180">
        <v>566.65</v>
      </c>
      <c r="Z68" s="181">
        <v>0</v>
      </c>
      <c r="AA68" s="180">
        <v>0</v>
      </c>
      <c r="AB68" s="180">
        <v>0</v>
      </c>
      <c r="AC68" s="180">
        <v>0</v>
      </c>
      <c r="AD68" s="180">
        <v>0</v>
      </c>
      <c r="AE68" s="180">
        <v>0</v>
      </c>
      <c r="AF68" s="180">
        <v>0</v>
      </c>
      <c r="AG68" s="180">
        <v>0</v>
      </c>
      <c r="AH68" s="180">
        <v>0</v>
      </c>
      <c r="AI68" s="180">
        <v>0</v>
      </c>
      <c r="AJ68" s="180">
        <v>0</v>
      </c>
      <c r="AK68" s="180">
        <v>0</v>
      </c>
      <c r="AL68" s="180">
        <v>0</v>
      </c>
      <c r="AM68" s="180">
        <v>0</v>
      </c>
      <c r="AN68" s="180">
        <v>0</v>
      </c>
      <c r="AO68" s="180">
        <v>0</v>
      </c>
      <c r="AP68" s="180">
        <v>3</v>
      </c>
      <c r="AQ68" s="180">
        <v>3</v>
      </c>
      <c r="AR68" s="180">
        <v>1</v>
      </c>
      <c r="AS68" s="180">
        <v>1</v>
      </c>
      <c r="AT68" s="180">
        <v>0</v>
      </c>
      <c r="AU68" s="180">
        <v>0</v>
      </c>
      <c r="AV68" s="180">
        <v>0</v>
      </c>
      <c r="AW68" s="180">
        <v>0</v>
      </c>
      <c r="AX68" s="180">
        <v>0</v>
      </c>
      <c r="AY68" s="180">
        <v>0</v>
      </c>
      <c r="AZ68" s="180">
        <v>0</v>
      </c>
      <c r="BA68" s="180">
        <v>0</v>
      </c>
      <c r="BB68" s="180">
        <v>0</v>
      </c>
      <c r="BC68" s="180">
        <v>0</v>
      </c>
      <c r="BD68" s="180">
        <v>0</v>
      </c>
      <c r="BE68" s="180">
        <v>0</v>
      </c>
      <c r="BF68" s="180">
        <v>0</v>
      </c>
      <c r="BG68" s="180">
        <v>0</v>
      </c>
      <c r="BH68" s="180">
        <v>0</v>
      </c>
      <c r="BI68" s="180">
        <v>0</v>
      </c>
      <c r="BJ68" s="180">
        <v>0</v>
      </c>
      <c r="BK68" s="180">
        <v>0</v>
      </c>
      <c r="BL68" s="180">
        <v>0</v>
      </c>
      <c r="BM68" s="180">
        <v>0</v>
      </c>
      <c r="BN68" s="180">
        <f t="shared" si="2"/>
        <v>32157.449999999997</v>
      </c>
      <c r="BO68" s="180">
        <f>Y68*53+AA68*77+AC68*30+AE68*40+AG68*75+AI68*140+AK68*640+AM68*480+AO68*450+AQ68*680+AS68*85+AU68*575+AW68*2+AY68*1.5+BA68*1800+BC68*900+BE68*1500+BG68*1500+BI68*1500+BK68*600+BM68*750</f>
        <v>32157.449999999997</v>
      </c>
      <c r="BP68" s="177" t="s">
        <v>177</v>
      </c>
      <c r="BQ68" s="172" t="s">
        <v>270</v>
      </c>
      <c r="BR68" s="172" t="s">
        <v>177</v>
      </c>
      <c r="BS68" s="172" t="s">
        <v>250</v>
      </c>
      <c r="BT68" s="172" t="s">
        <v>425</v>
      </c>
      <c r="BU68" s="183" t="s">
        <v>398</v>
      </c>
      <c r="BV68" s="193"/>
      <c r="BW68" s="184">
        <f t="shared" si="77"/>
        <v>32157.449999999997</v>
      </c>
      <c r="BX68" s="185">
        <v>46149</v>
      </c>
      <c r="BY68" s="186" t="s">
        <v>250</v>
      </c>
      <c r="BZ68" s="182" t="s">
        <v>177</v>
      </c>
    </row>
    <row r="69" spans="1:78" s="2" customFormat="1" ht="63" customHeight="1" outlineLevel="1" x14ac:dyDescent="0.25">
      <c r="A69" s="34">
        <v>65</v>
      </c>
      <c r="B69" s="172" t="s">
        <v>399</v>
      </c>
      <c r="C69" s="173">
        <v>246091</v>
      </c>
      <c r="D69" s="173">
        <v>1199104</v>
      </c>
      <c r="E69" s="174" t="s">
        <v>180</v>
      </c>
      <c r="F69" s="175">
        <v>46062</v>
      </c>
      <c r="G69" s="175">
        <v>46061</v>
      </c>
      <c r="H69" s="173">
        <v>817500</v>
      </c>
      <c r="I69" s="173" t="s">
        <v>385</v>
      </c>
      <c r="J69" s="175">
        <v>46084</v>
      </c>
      <c r="K69" s="175">
        <v>46254</v>
      </c>
      <c r="L69" s="175">
        <v>46242</v>
      </c>
      <c r="M69" s="175">
        <v>46174</v>
      </c>
      <c r="N69" s="175" t="s">
        <v>240</v>
      </c>
      <c r="O69" s="179">
        <f t="shared" si="1"/>
        <v>30</v>
      </c>
      <c r="P69" s="205" t="s">
        <v>268</v>
      </c>
      <c r="Q69" s="176">
        <v>70</v>
      </c>
      <c r="R69" s="176" t="s">
        <v>269</v>
      </c>
      <c r="S69" s="177" t="s">
        <v>177</v>
      </c>
      <c r="T69" s="178" t="s">
        <v>265</v>
      </c>
      <c r="U69" s="179" t="s">
        <v>365</v>
      </c>
      <c r="V69" s="175" t="s">
        <v>291</v>
      </c>
      <c r="W69" s="179" t="s">
        <v>316</v>
      </c>
      <c r="X69" s="180">
        <v>286.52999999999997</v>
      </c>
      <c r="Y69" s="180">
        <v>286.52999999999997</v>
      </c>
      <c r="Z69" s="181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0</v>
      </c>
      <c r="AF69" s="180">
        <v>0</v>
      </c>
      <c r="AG69" s="180">
        <v>0</v>
      </c>
      <c r="AH69" s="180">
        <v>0</v>
      </c>
      <c r="AI69" s="180">
        <v>0</v>
      </c>
      <c r="AJ69" s="180">
        <v>0</v>
      </c>
      <c r="AK69" s="180">
        <v>0</v>
      </c>
      <c r="AL69" s="180">
        <v>1</v>
      </c>
      <c r="AM69" s="180">
        <v>1</v>
      </c>
      <c r="AN69" s="180">
        <v>1</v>
      </c>
      <c r="AO69" s="180">
        <v>1</v>
      </c>
      <c r="AP69" s="180">
        <v>0</v>
      </c>
      <c r="AQ69" s="180">
        <v>0</v>
      </c>
      <c r="AR69" s="180">
        <v>0</v>
      </c>
      <c r="AS69" s="180">
        <v>0</v>
      </c>
      <c r="AT69" s="180">
        <v>2</v>
      </c>
      <c r="AU69" s="180">
        <v>2</v>
      </c>
      <c r="AV69" s="180">
        <v>0</v>
      </c>
      <c r="AW69" s="180">
        <v>0</v>
      </c>
      <c r="AX69" s="180">
        <v>0</v>
      </c>
      <c r="AY69" s="180">
        <v>0</v>
      </c>
      <c r="AZ69" s="180">
        <v>0</v>
      </c>
      <c r="BA69" s="180">
        <v>0</v>
      </c>
      <c r="BB69" s="180">
        <v>0</v>
      </c>
      <c r="BC69" s="180">
        <v>0</v>
      </c>
      <c r="BD69" s="180">
        <v>0</v>
      </c>
      <c r="BE69" s="180">
        <v>0</v>
      </c>
      <c r="BF69" s="180">
        <v>0</v>
      </c>
      <c r="BG69" s="180">
        <v>0</v>
      </c>
      <c r="BH69" s="180">
        <v>0</v>
      </c>
      <c r="BI69" s="180">
        <v>0</v>
      </c>
      <c r="BJ69" s="180">
        <v>0</v>
      </c>
      <c r="BK69" s="180">
        <v>0</v>
      </c>
      <c r="BL69" s="180">
        <v>0</v>
      </c>
      <c r="BM69" s="180">
        <v>0</v>
      </c>
      <c r="BN69" s="180">
        <f t="shared" ref="BN69:BN74" si="78">X69*53+Z69*77+AB69*30+AD69*40+AF69*75+AH69*140+AJ69*640+AL69*480+AN69*450+AP69*680+AR69*85+AT69*575+AV69*2+AX69*1.5+AZ69*1800+BB69*900+BD69*1500+BF69*1500+BH69*1500+BJ69*600+BL69*750</f>
        <v>17266.089999999997</v>
      </c>
      <c r="BO69" s="180">
        <f>Y69*53+AA69*77+AC69*30+AE69*40+AG69*75+AI69*140+AK69*640+AM69*480+AO69*450+AQ69*680+AS69*85+AU69*575+AW69*2+AY69*1.5+BA69*1800+BC69*900+BE69*1500+BG69*1500+BI69*1500+BK69*600+BM69*750</f>
        <v>17266.089999999997</v>
      </c>
      <c r="BP69" s="177" t="s">
        <v>177</v>
      </c>
      <c r="BQ69" s="172" t="s">
        <v>270</v>
      </c>
      <c r="BR69" s="172" t="s">
        <v>177</v>
      </c>
      <c r="BS69" s="172" t="s">
        <v>250</v>
      </c>
      <c r="BT69" s="172" t="s">
        <v>424</v>
      </c>
      <c r="BU69" s="183" t="s">
        <v>400</v>
      </c>
      <c r="BV69" s="193"/>
      <c r="BW69" s="184">
        <f t="shared" si="77"/>
        <v>17266.089999999997</v>
      </c>
      <c r="BX69" s="185">
        <v>46154</v>
      </c>
      <c r="BY69" s="186" t="s">
        <v>250</v>
      </c>
      <c r="BZ69" s="182" t="s">
        <v>177</v>
      </c>
    </row>
    <row r="70" spans="1:78" s="2" customFormat="1" ht="63" customHeight="1" outlineLevel="1" x14ac:dyDescent="0.25">
      <c r="A70" s="34">
        <v>66</v>
      </c>
      <c r="B70" s="105" t="s">
        <v>396</v>
      </c>
      <c r="C70" s="106">
        <v>246096</v>
      </c>
      <c r="D70" s="106">
        <v>1199109</v>
      </c>
      <c r="E70" s="107" t="s">
        <v>181</v>
      </c>
      <c r="F70" s="108">
        <v>46062</v>
      </c>
      <c r="G70" s="108">
        <v>46061</v>
      </c>
      <c r="H70" s="106">
        <v>817501</v>
      </c>
      <c r="I70" s="106" t="s">
        <v>385</v>
      </c>
      <c r="J70" s="108">
        <v>46089</v>
      </c>
      <c r="K70" s="108">
        <v>46254</v>
      </c>
      <c r="L70" s="108">
        <v>46242</v>
      </c>
      <c r="M70" s="108">
        <v>46174</v>
      </c>
      <c r="N70" s="108" t="s">
        <v>240</v>
      </c>
      <c r="O70" s="187">
        <f t="shared" si="1"/>
        <v>30</v>
      </c>
      <c r="P70" s="206" t="s">
        <v>268</v>
      </c>
      <c r="Q70" s="109">
        <f t="shared" si="64"/>
        <v>113</v>
      </c>
      <c r="R70" s="159" t="s">
        <v>269</v>
      </c>
      <c r="S70" s="119" t="s">
        <v>3</v>
      </c>
      <c r="T70" s="111" t="s">
        <v>265</v>
      </c>
      <c r="U70" s="112" t="s">
        <v>182</v>
      </c>
      <c r="V70" s="104" t="s">
        <v>346</v>
      </c>
      <c r="W70" s="163" t="s">
        <v>326</v>
      </c>
      <c r="X70" s="113">
        <v>448</v>
      </c>
      <c r="Y70" s="113">
        <v>448</v>
      </c>
      <c r="Z70" s="114">
        <v>0</v>
      </c>
      <c r="AA70" s="113">
        <v>0</v>
      </c>
      <c r="AB70" s="113">
        <v>0</v>
      </c>
      <c r="AC70" s="113">
        <v>0</v>
      </c>
      <c r="AD70" s="113">
        <v>110</v>
      </c>
      <c r="AE70" s="113">
        <v>110</v>
      </c>
      <c r="AF70" s="113">
        <v>0</v>
      </c>
      <c r="AG70" s="113">
        <v>0</v>
      </c>
      <c r="AH70" s="113">
        <f>(101*5)+15</f>
        <v>520</v>
      </c>
      <c r="AI70" s="113">
        <f>(101*5)+15</f>
        <v>520</v>
      </c>
      <c r="AJ70" s="113">
        <v>0</v>
      </c>
      <c r="AK70" s="113">
        <v>0</v>
      </c>
      <c r="AL70" s="113">
        <v>0</v>
      </c>
      <c r="AM70" s="113">
        <v>0</v>
      </c>
      <c r="AN70" s="113">
        <v>0</v>
      </c>
      <c r="AO70" s="113">
        <v>0</v>
      </c>
      <c r="AP70" s="113">
        <v>0</v>
      </c>
      <c r="AQ70" s="113">
        <v>0</v>
      </c>
      <c r="AR70" s="113">
        <v>1</v>
      </c>
      <c r="AS70" s="113">
        <v>1</v>
      </c>
      <c r="AT70" s="113">
        <v>0</v>
      </c>
      <c r="AU70" s="113">
        <v>0</v>
      </c>
      <c r="AV70" s="113">
        <v>0</v>
      </c>
      <c r="AW70" s="113">
        <v>0</v>
      </c>
      <c r="AX70" s="113">
        <v>0</v>
      </c>
      <c r="AY70" s="113">
        <v>0</v>
      </c>
      <c r="AZ70" s="113">
        <v>0</v>
      </c>
      <c r="BA70" s="113">
        <v>0</v>
      </c>
      <c r="BB70" s="113">
        <v>0</v>
      </c>
      <c r="BC70" s="113">
        <v>0</v>
      </c>
      <c r="BD70" s="113">
        <v>0</v>
      </c>
      <c r="BE70" s="113">
        <v>0</v>
      </c>
      <c r="BF70" s="113">
        <v>0</v>
      </c>
      <c r="BG70" s="113">
        <v>0</v>
      </c>
      <c r="BH70" s="113">
        <v>0</v>
      </c>
      <c r="BI70" s="113">
        <v>0</v>
      </c>
      <c r="BJ70" s="113">
        <v>0</v>
      </c>
      <c r="BK70" s="113">
        <v>0</v>
      </c>
      <c r="BL70" s="113">
        <v>0</v>
      </c>
      <c r="BM70" s="113">
        <v>0</v>
      </c>
      <c r="BN70" s="113">
        <f t="shared" si="78"/>
        <v>101029</v>
      </c>
      <c r="BO70" s="113">
        <f t="shared" ref="BO70:BO79" si="79">Y70*53+AA70*77+AC70*30+AE70*40+AG70*75+AI70*140+AK70*640+AM70*480+AO70*450+AQ70*680+AS70*85+AU70*575+AW70*2+AY70*1.5+BA70*1800+BC70*900+BE70*1500+BG70*1500+BI70*1500+BK70*600+BM70*750</f>
        <v>101029</v>
      </c>
      <c r="BP70" s="115" t="s">
        <v>3</v>
      </c>
      <c r="BQ70" s="104" t="s">
        <v>42</v>
      </c>
      <c r="BR70" s="104" t="s">
        <v>42</v>
      </c>
      <c r="BS70" s="104" t="s">
        <v>42</v>
      </c>
      <c r="BT70" s="104" t="s">
        <v>42</v>
      </c>
      <c r="BU70" s="116" t="s">
        <v>396</v>
      </c>
      <c r="BV70" s="191"/>
      <c r="BW70" s="117">
        <v>0</v>
      </c>
      <c r="BX70" s="118">
        <v>46152</v>
      </c>
      <c r="BY70" s="152" t="s">
        <v>42</v>
      </c>
      <c r="BZ70" s="115" t="s">
        <v>248</v>
      </c>
    </row>
    <row r="71" spans="1:78" s="2" customFormat="1" ht="63" customHeight="1" outlineLevel="1" x14ac:dyDescent="0.25">
      <c r="A71" s="34">
        <v>67</v>
      </c>
      <c r="B71" s="105" t="s">
        <v>422</v>
      </c>
      <c r="C71" s="106">
        <v>246096</v>
      </c>
      <c r="D71" s="106">
        <v>1199109</v>
      </c>
      <c r="E71" s="107" t="s">
        <v>181</v>
      </c>
      <c r="F71" s="108">
        <v>46062</v>
      </c>
      <c r="G71" s="108">
        <v>46061</v>
      </c>
      <c r="H71" s="106">
        <v>817501</v>
      </c>
      <c r="I71" s="106" t="s">
        <v>385</v>
      </c>
      <c r="J71" s="108">
        <v>46089</v>
      </c>
      <c r="K71" s="108">
        <v>46254</v>
      </c>
      <c r="L71" s="108">
        <v>46242</v>
      </c>
      <c r="M71" s="108">
        <v>46204</v>
      </c>
      <c r="N71" s="108" t="s">
        <v>240</v>
      </c>
      <c r="O71" s="187">
        <v>30</v>
      </c>
      <c r="P71" s="206" t="s">
        <v>268</v>
      </c>
      <c r="Q71" s="109">
        <f t="shared" si="64"/>
        <v>143</v>
      </c>
      <c r="R71" s="159" t="s">
        <v>269</v>
      </c>
      <c r="S71" s="119" t="s">
        <v>3</v>
      </c>
      <c r="T71" s="111" t="s">
        <v>265</v>
      </c>
      <c r="U71" s="112" t="s">
        <v>182</v>
      </c>
      <c r="V71" s="104" t="s">
        <v>346</v>
      </c>
      <c r="W71" s="163" t="s">
        <v>326</v>
      </c>
      <c r="X71" s="113">
        <v>473.52</v>
      </c>
      <c r="Y71" s="113">
        <v>473.52</v>
      </c>
      <c r="Z71" s="114">
        <f>9.28*4</f>
        <v>37.119999999999997</v>
      </c>
      <c r="AA71" s="113">
        <f>9.28*4</f>
        <v>37.119999999999997</v>
      </c>
      <c r="AB71" s="113"/>
      <c r="AC71" s="113"/>
      <c r="AD71" s="113">
        <v>220</v>
      </c>
      <c r="AE71" s="113">
        <v>220</v>
      </c>
      <c r="AF71" s="113"/>
      <c r="AG71" s="113"/>
      <c r="AH71" s="113">
        <f>(186*5)+15</f>
        <v>945</v>
      </c>
      <c r="AI71" s="113">
        <f>(186*5)+15</f>
        <v>945</v>
      </c>
      <c r="AJ71" s="113"/>
      <c r="AK71" s="113"/>
      <c r="AL71" s="113"/>
      <c r="AM71" s="113"/>
      <c r="AN71" s="113"/>
      <c r="AO71" s="113"/>
      <c r="AP71" s="113">
        <v>2</v>
      </c>
      <c r="AQ71" s="113">
        <v>2</v>
      </c>
      <c r="AR71" s="113">
        <v>2</v>
      </c>
      <c r="AS71" s="113">
        <v>2</v>
      </c>
      <c r="AT71" s="113"/>
      <c r="AU71" s="113"/>
      <c r="AV71" s="113"/>
      <c r="AW71" s="113"/>
      <c r="AX71" s="113"/>
      <c r="AY71" s="113"/>
      <c r="AZ71" s="113"/>
      <c r="BA71" s="113"/>
      <c r="BB71" s="113"/>
      <c r="BC71" s="113"/>
      <c r="BD71" s="113"/>
      <c r="BE71" s="113"/>
      <c r="BF71" s="113"/>
      <c r="BG71" s="113"/>
      <c r="BH71" s="113"/>
      <c r="BI71" s="113"/>
      <c r="BJ71" s="113"/>
      <c r="BK71" s="113"/>
      <c r="BL71" s="113"/>
      <c r="BM71" s="113"/>
      <c r="BN71" s="113">
        <f t="shared" si="78"/>
        <v>170584.8</v>
      </c>
      <c r="BO71" s="113">
        <f t="shared" si="79"/>
        <v>170584.8</v>
      </c>
      <c r="BP71" s="115" t="s">
        <v>3</v>
      </c>
      <c r="BQ71" s="104" t="s">
        <v>42</v>
      </c>
      <c r="BR71" s="104" t="s">
        <v>42</v>
      </c>
      <c r="BS71" s="104" t="s">
        <v>42</v>
      </c>
      <c r="BT71" s="104" t="s">
        <v>42</v>
      </c>
      <c r="BU71" s="116" t="s">
        <v>422</v>
      </c>
      <c r="BV71" s="191"/>
      <c r="BW71" s="117">
        <v>0</v>
      </c>
      <c r="BX71" s="118">
        <v>46194</v>
      </c>
      <c r="BY71" s="152" t="s">
        <v>42</v>
      </c>
      <c r="BZ71" s="115" t="s">
        <v>248</v>
      </c>
    </row>
    <row r="72" spans="1:78" s="2" customFormat="1" ht="63" customHeight="1" outlineLevel="1" x14ac:dyDescent="0.25">
      <c r="A72" s="34">
        <v>68</v>
      </c>
      <c r="B72" s="105" t="s">
        <v>427</v>
      </c>
      <c r="C72" s="106">
        <v>246096</v>
      </c>
      <c r="D72" s="106">
        <v>1199109</v>
      </c>
      <c r="E72" s="107" t="s">
        <v>181</v>
      </c>
      <c r="F72" s="108">
        <v>46062</v>
      </c>
      <c r="G72" s="108">
        <v>46061</v>
      </c>
      <c r="H72" s="106">
        <v>817501</v>
      </c>
      <c r="I72" s="106" t="s">
        <v>385</v>
      </c>
      <c r="J72" s="108">
        <v>46089</v>
      </c>
      <c r="K72" s="108">
        <v>46254</v>
      </c>
      <c r="L72" s="108">
        <v>46242</v>
      </c>
      <c r="M72" s="108">
        <v>46210</v>
      </c>
      <c r="N72" s="108" t="s">
        <v>240</v>
      </c>
      <c r="O72" s="187">
        <v>30</v>
      </c>
      <c r="P72" s="206" t="s">
        <v>268</v>
      </c>
      <c r="Q72" s="109">
        <f t="shared" si="64"/>
        <v>149</v>
      </c>
      <c r="R72" s="159" t="s">
        <v>269</v>
      </c>
      <c r="S72" s="119" t="s">
        <v>3</v>
      </c>
      <c r="T72" s="111" t="s">
        <v>265</v>
      </c>
      <c r="U72" s="112" t="s">
        <v>182</v>
      </c>
      <c r="V72" s="104" t="s">
        <v>346</v>
      </c>
      <c r="W72" s="163" t="s">
        <v>326</v>
      </c>
      <c r="X72" s="113">
        <v>482</v>
      </c>
      <c r="Y72" s="113">
        <v>482</v>
      </c>
      <c r="Z72" s="114">
        <f>(15.57+9.6+7.01+8.31)*4</f>
        <v>161.96</v>
      </c>
      <c r="AA72" s="113">
        <f>(15.57+9.6+7.01+8.31)*4</f>
        <v>161.96</v>
      </c>
      <c r="AB72" s="113"/>
      <c r="AC72" s="113"/>
      <c r="AD72" s="113">
        <v>56</v>
      </c>
      <c r="AE72" s="113">
        <v>56</v>
      </c>
      <c r="AF72" s="113"/>
      <c r="AG72" s="113"/>
      <c r="AH72" s="113">
        <f>(336*5)+15</f>
        <v>1695</v>
      </c>
      <c r="AI72" s="113">
        <f>(336*5)+15</f>
        <v>1695</v>
      </c>
      <c r="AJ72" s="113"/>
      <c r="AK72" s="113"/>
      <c r="AL72" s="113">
        <v>2</v>
      </c>
      <c r="AM72" s="113">
        <v>2</v>
      </c>
      <c r="AN72" s="113">
        <v>2</v>
      </c>
      <c r="AO72" s="113">
        <v>2</v>
      </c>
      <c r="AP72" s="113">
        <f>4+3</f>
        <v>7</v>
      </c>
      <c r="AQ72" s="113">
        <f>4+3</f>
        <v>7</v>
      </c>
      <c r="AR72" s="113">
        <f>2+2</f>
        <v>4</v>
      </c>
      <c r="AS72" s="113">
        <f>2+2</f>
        <v>4</v>
      </c>
      <c r="AT72" s="113">
        <v>3</v>
      </c>
      <c r="AU72" s="113">
        <v>3</v>
      </c>
      <c r="AV72" s="113"/>
      <c r="AW72" s="113"/>
      <c r="AX72" s="113"/>
      <c r="AY72" s="113"/>
      <c r="AZ72" s="113"/>
      <c r="BA72" s="113"/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>
        <f t="shared" ref="BN72" si="80">X72*53+Z72*77+AB72*30+AD72*40+AF72*75+AH72*140+AJ72*640+AL72*480+AN72*450+AP72*680+AR72*85+AT72*575+AV72*2+AX72*1.5+AZ72*1800+BB72*900+BD72*1500+BF72*1500+BH72*1500+BJ72*600+BL72*750</f>
        <v>286241.91999999998</v>
      </c>
      <c r="BO72" s="113">
        <f t="shared" ref="BO72" si="81">Y72*53+AA72*77+AC72*30+AE72*40+AG72*75+AI72*140+AK72*640+AM72*480+AO72*450+AQ72*680+AS72*85+AU72*575+AW72*2+AY72*1.5+BA72*1800+BC72*900+BE72*1500+BG72*1500+BI72*1500+BK72*600+BM72*750</f>
        <v>286241.91999999998</v>
      </c>
      <c r="BP72" s="115" t="s">
        <v>3</v>
      </c>
      <c r="BQ72" s="104" t="s">
        <v>42</v>
      </c>
      <c r="BR72" s="104" t="s">
        <v>42</v>
      </c>
      <c r="BS72" s="104" t="s">
        <v>42</v>
      </c>
      <c r="BT72" s="104" t="s">
        <v>42</v>
      </c>
      <c r="BU72" s="116" t="s">
        <v>427</v>
      </c>
      <c r="BV72" s="191"/>
      <c r="BW72" s="117">
        <v>0</v>
      </c>
      <c r="BX72" s="118">
        <v>46201</v>
      </c>
      <c r="BY72" s="152" t="s">
        <v>42</v>
      </c>
      <c r="BZ72" s="115" t="s">
        <v>248</v>
      </c>
    </row>
    <row r="73" spans="1:78" s="2" customFormat="1" ht="63" customHeight="1" outlineLevel="1" x14ac:dyDescent="0.25">
      <c r="A73" s="34">
        <v>69</v>
      </c>
      <c r="B73" s="172" t="s">
        <v>391</v>
      </c>
      <c r="C73" s="173">
        <v>246761</v>
      </c>
      <c r="D73" s="173">
        <v>1203604</v>
      </c>
      <c r="E73" s="174" t="s">
        <v>183</v>
      </c>
      <c r="F73" s="175">
        <v>46075</v>
      </c>
      <c r="G73" s="175">
        <f t="shared" si="0"/>
        <v>46074</v>
      </c>
      <c r="H73" s="173">
        <v>819033</v>
      </c>
      <c r="I73" s="173" t="s">
        <v>385</v>
      </c>
      <c r="J73" s="175">
        <v>46092</v>
      </c>
      <c r="K73" s="175">
        <v>46268</v>
      </c>
      <c r="L73" s="175">
        <v>46256</v>
      </c>
      <c r="M73" s="175">
        <v>46146</v>
      </c>
      <c r="N73" s="175" t="s">
        <v>240</v>
      </c>
      <c r="O73" s="179">
        <f t="shared" si="1"/>
        <v>30</v>
      </c>
      <c r="P73" s="205" t="s">
        <v>268</v>
      </c>
      <c r="Q73" s="176">
        <f t="shared" si="64"/>
        <v>72</v>
      </c>
      <c r="R73" s="176" t="s">
        <v>269</v>
      </c>
      <c r="S73" s="177" t="s">
        <v>3</v>
      </c>
      <c r="T73" s="178" t="s">
        <v>265</v>
      </c>
      <c r="U73" s="179" t="s">
        <v>184</v>
      </c>
      <c r="V73" s="175" t="s">
        <v>345</v>
      </c>
      <c r="W73" s="179" t="s">
        <v>329</v>
      </c>
      <c r="X73" s="180">
        <v>33.340000000000003</v>
      </c>
      <c r="Y73" s="180">
        <v>33.340000000000003</v>
      </c>
      <c r="Z73" s="181">
        <v>67.98</v>
      </c>
      <c r="AA73" s="180">
        <v>67.98</v>
      </c>
      <c r="AB73" s="180">
        <v>0</v>
      </c>
      <c r="AC73" s="180">
        <v>0</v>
      </c>
      <c r="AD73" s="180">
        <v>30</v>
      </c>
      <c r="AE73" s="180">
        <v>30</v>
      </c>
      <c r="AF73" s="180">
        <v>0</v>
      </c>
      <c r="AG73" s="180">
        <v>0</v>
      </c>
      <c r="AH73" s="180">
        <v>69</v>
      </c>
      <c r="AI73" s="180">
        <v>69</v>
      </c>
      <c r="AJ73" s="180">
        <v>0</v>
      </c>
      <c r="AK73" s="180">
        <v>0</v>
      </c>
      <c r="AL73" s="180">
        <v>0</v>
      </c>
      <c r="AM73" s="180">
        <v>0</v>
      </c>
      <c r="AN73" s="180">
        <v>0</v>
      </c>
      <c r="AO73" s="180">
        <v>0</v>
      </c>
      <c r="AP73" s="180">
        <v>5</v>
      </c>
      <c r="AQ73" s="180">
        <v>5</v>
      </c>
      <c r="AR73" s="180">
        <v>4</v>
      </c>
      <c r="AS73" s="180">
        <v>4</v>
      </c>
      <c r="AT73" s="180">
        <v>3</v>
      </c>
      <c r="AU73" s="180">
        <v>3</v>
      </c>
      <c r="AV73" s="180">
        <v>0</v>
      </c>
      <c r="AW73" s="180">
        <v>0</v>
      </c>
      <c r="AX73" s="180">
        <v>0</v>
      </c>
      <c r="AY73" s="180">
        <v>0</v>
      </c>
      <c r="AZ73" s="180">
        <v>0</v>
      </c>
      <c r="BA73" s="180">
        <v>0</v>
      </c>
      <c r="BB73" s="180">
        <v>0</v>
      </c>
      <c r="BC73" s="180">
        <v>0</v>
      </c>
      <c r="BD73" s="180">
        <v>0</v>
      </c>
      <c r="BE73" s="180">
        <v>0</v>
      </c>
      <c r="BF73" s="180">
        <v>0</v>
      </c>
      <c r="BG73" s="180">
        <v>0</v>
      </c>
      <c r="BH73" s="180">
        <v>0</v>
      </c>
      <c r="BI73" s="180">
        <v>0</v>
      </c>
      <c r="BJ73" s="180">
        <v>0</v>
      </c>
      <c r="BK73" s="180">
        <v>0</v>
      </c>
      <c r="BL73" s="180">
        <v>0</v>
      </c>
      <c r="BM73" s="180">
        <v>0</v>
      </c>
      <c r="BN73" s="180">
        <f t="shared" si="78"/>
        <v>23326.48</v>
      </c>
      <c r="BO73" s="180">
        <f t="shared" si="79"/>
        <v>23326.48</v>
      </c>
      <c r="BP73" s="177" t="s">
        <v>177</v>
      </c>
      <c r="BQ73" s="172" t="s">
        <v>270</v>
      </c>
      <c r="BR73" s="172" t="s">
        <v>177</v>
      </c>
      <c r="BS73" s="172" t="s">
        <v>250</v>
      </c>
      <c r="BT73" s="172" t="s">
        <v>462</v>
      </c>
      <c r="BU73" s="183">
        <v>33</v>
      </c>
      <c r="BV73" s="193"/>
      <c r="BW73" s="184">
        <f t="shared" ref="BW73" si="82">BO73</f>
        <v>23326.48</v>
      </c>
      <c r="BX73" s="185">
        <v>46128</v>
      </c>
      <c r="BY73" s="186" t="s">
        <v>42</v>
      </c>
      <c r="BZ73" s="182" t="s">
        <v>177</v>
      </c>
    </row>
    <row r="74" spans="1:78" s="2" customFormat="1" ht="63" customHeight="1" outlineLevel="1" x14ac:dyDescent="0.25">
      <c r="A74" s="34">
        <v>70</v>
      </c>
      <c r="B74" s="200">
        <v>34</v>
      </c>
      <c r="C74" s="121">
        <v>246765</v>
      </c>
      <c r="D74" s="121">
        <v>1203607</v>
      </c>
      <c r="E74" s="212" t="s">
        <v>185</v>
      </c>
      <c r="F74" s="123">
        <v>46075</v>
      </c>
      <c r="G74" s="123">
        <f t="shared" si="0"/>
        <v>46074</v>
      </c>
      <c r="H74" s="121">
        <v>824062</v>
      </c>
      <c r="I74" s="121" t="s">
        <v>385</v>
      </c>
      <c r="J74" s="123">
        <v>46154</v>
      </c>
      <c r="K74" s="123">
        <v>46317</v>
      </c>
      <c r="L74" s="123">
        <v>46440</v>
      </c>
      <c r="M74" s="123">
        <f t="shared" ca="1" si="32"/>
        <v>46277</v>
      </c>
      <c r="N74" s="123" t="s">
        <v>157</v>
      </c>
      <c r="O74" s="210" t="str">
        <f t="shared" si="1"/>
        <v/>
      </c>
      <c r="P74" s="204" t="s">
        <v>268</v>
      </c>
      <c r="Q74" s="124">
        <f t="shared" ca="1" si="64"/>
        <v>203</v>
      </c>
      <c r="R74" s="211" t="s">
        <v>269</v>
      </c>
      <c r="S74" s="213" t="s">
        <v>157</v>
      </c>
      <c r="T74" s="122" t="s">
        <v>42</v>
      </c>
      <c r="U74" s="127" t="s">
        <v>186</v>
      </c>
      <c r="V74" s="120" t="s">
        <v>344</v>
      </c>
      <c r="W74" s="214" t="s">
        <v>330</v>
      </c>
      <c r="X74" s="128">
        <f>9068-1178-604</f>
        <v>7286</v>
      </c>
      <c r="Y74" s="128">
        <v>0</v>
      </c>
      <c r="Z74" s="129">
        <v>250</v>
      </c>
      <c r="AA74" s="128">
        <v>0</v>
      </c>
      <c r="AB74" s="128">
        <v>0</v>
      </c>
      <c r="AC74" s="128">
        <v>0</v>
      </c>
      <c r="AD74" s="128">
        <v>0</v>
      </c>
      <c r="AE74" s="128">
        <v>0</v>
      </c>
      <c r="AF74" s="128">
        <v>50</v>
      </c>
      <c r="AG74" s="128">
        <v>0</v>
      </c>
      <c r="AH74" s="128">
        <v>250</v>
      </c>
      <c r="AI74" s="128">
        <v>0</v>
      </c>
      <c r="AJ74" s="128">
        <v>1</v>
      </c>
      <c r="AK74" s="128">
        <v>0</v>
      </c>
      <c r="AL74" s="128">
        <v>4</v>
      </c>
      <c r="AM74" s="128">
        <v>0</v>
      </c>
      <c r="AN74" s="128">
        <v>4</v>
      </c>
      <c r="AO74" s="128">
        <v>0</v>
      </c>
      <c r="AP74" s="128">
        <f>50-2</f>
        <v>48</v>
      </c>
      <c r="AQ74" s="128">
        <v>0</v>
      </c>
      <c r="AR74" s="128">
        <f>50-2</f>
        <v>48</v>
      </c>
      <c r="AS74" s="128">
        <v>0</v>
      </c>
      <c r="AT74" s="128">
        <v>10</v>
      </c>
      <c r="AU74" s="128">
        <v>0</v>
      </c>
      <c r="AV74" s="128">
        <v>0</v>
      </c>
      <c r="AW74" s="128">
        <v>0</v>
      </c>
      <c r="AX74" s="128">
        <v>0</v>
      </c>
      <c r="AY74" s="128">
        <v>0</v>
      </c>
      <c r="AZ74" s="128">
        <v>0</v>
      </c>
      <c r="BA74" s="128">
        <v>0</v>
      </c>
      <c r="BB74" s="128">
        <v>0</v>
      </c>
      <c r="BC74" s="128">
        <v>0</v>
      </c>
      <c r="BD74" s="128">
        <v>0</v>
      </c>
      <c r="BE74" s="128">
        <v>0</v>
      </c>
      <c r="BF74" s="128">
        <v>0</v>
      </c>
      <c r="BG74" s="128">
        <v>0</v>
      </c>
      <c r="BH74" s="128">
        <v>0</v>
      </c>
      <c r="BI74" s="128">
        <v>0</v>
      </c>
      <c r="BJ74" s="128">
        <v>0</v>
      </c>
      <c r="BK74" s="128">
        <v>0</v>
      </c>
      <c r="BL74" s="128">
        <v>0</v>
      </c>
      <c r="BM74" s="128">
        <v>0</v>
      </c>
      <c r="BN74" s="128">
        <f t="shared" si="78"/>
        <v>490988</v>
      </c>
      <c r="BO74" s="128">
        <f t="shared" si="60"/>
        <v>0</v>
      </c>
      <c r="BP74" s="133" t="s">
        <v>157</v>
      </c>
      <c r="BQ74" s="122" t="s">
        <v>42</v>
      </c>
      <c r="BR74" s="120" t="s">
        <v>42</v>
      </c>
      <c r="BS74" s="120" t="s">
        <v>157</v>
      </c>
      <c r="BT74" s="120" t="s">
        <v>42</v>
      </c>
      <c r="BU74" s="215">
        <v>34</v>
      </c>
      <c r="BV74" s="216"/>
      <c r="BW74" s="131">
        <v>0</v>
      </c>
      <c r="BX74" s="217" t="s">
        <v>156</v>
      </c>
      <c r="BY74" s="218" t="s">
        <v>42</v>
      </c>
      <c r="BZ74" s="120" t="s">
        <v>157</v>
      </c>
    </row>
    <row r="75" spans="1:78" s="2" customFormat="1" ht="63" customHeight="1" outlineLevel="1" x14ac:dyDescent="0.25">
      <c r="A75" s="34">
        <v>71</v>
      </c>
      <c r="B75" s="105" t="s">
        <v>441</v>
      </c>
      <c r="C75" s="106">
        <v>246765</v>
      </c>
      <c r="D75" s="106">
        <v>1203607</v>
      </c>
      <c r="E75" s="235" t="s">
        <v>185</v>
      </c>
      <c r="F75" s="108">
        <v>46075</v>
      </c>
      <c r="G75" s="108">
        <f t="shared" ref="G75" si="83">F75-1</f>
        <v>46074</v>
      </c>
      <c r="H75" s="106">
        <v>824062</v>
      </c>
      <c r="I75" s="106" t="s">
        <v>385</v>
      </c>
      <c r="J75" s="108">
        <v>46154</v>
      </c>
      <c r="K75" s="108">
        <v>46317</v>
      </c>
      <c r="L75" s="108">
        <v>46440</v>
      </c>
      <c r="M75" s="108">
        <f t="shared" ca="1" si="32"/>
        <v>46277</v>
      </c>
      <c r="N75" s="108" t="s">
        <v>157</v>
      </c>
      <c r="O75" s="187" t="str">
        <f t="shared" ref="O75" si="84">IF(N75="Backfilling",30,IF(N75="Reinstatement",20,IF(N75="Shut Down",30,IF(N75="Returned",0,""))))</f>
        <v/>
      </c>
      <c r="P75" s="206" t="s">
        <v>268</v>
      </c>
      <c r="Q75" s="109">
        <f t="shared" ref="Q75" ca="1" si="85">M75-G75</f>
        <v>203</v>
      </c>
      <c r="R75" s="159" t="s">
        <v>269</v>
      </c>
      <c r="S75" s="236" t="s">
        <v>157</v>
      </c>
      <c r="T75" s="107" t="s">
        <v>42</v>
      </c>
      <c r="U75" s="112" t="s">
        <v>186</v>
      </c>
      <c r="V75" s="104" t="s">
        <v>344</v>
      </c>
      <c r="W75" s="163" t="s">
        <v>330</v>
      </c>
      <c r="X75" s="113">
        <v>1178</v>
      </c>
      <c r="Y75" s="113">
        <v>1178</v>
      </c>
      <c r="Z75" s="114">
        <v>0</v>
      </c>
      <c r="AA75" s="113">
        <v>0</v>
      </c>
      <c r="AB75" s="113">
        <v>0</v>
      </c>
      <c r="AC75" s="113">
        <v>0</v>
      </c>
      <c r="AD75" s="113">
        <v>0</v>
      </c>
      <c r="AE75" s="113">
        <v>0</v>
      </c>
      <c r="AF75" s="113">
        <v>0</v>
      </c>
      <c r="AG75" s="113">
        <v>0</v>
      </c>
      <c r="AH75" s="113">
        <v>0</v>
      </c>
      <c r="AI75" s="113">
        <v>0</v>
      </c>
      <c r="AJ75" s="113">
        <v>0</v>
      </c>
      <c r="AK75" s="113">
        <v>0</v>
      </c>
      <c r="AL75" s="113">
        <v>0</v>
      </c>
      <c r="AM75" s="113">
        <v>0</v>
      </c>
      <c r="AN75" s="113">
        <v>0</v>
      </c>
      <c r="AO75" s="113">
        <v>0</v>
      </c>
      <c r="AP75" s="113">
        <v>4</v>
      </c>
      <c r="AQ75" s="113">
        <v>4</v>
      </c>
      <c r="AR75" s="113">
        <v>4</v>
      </c>
      <c r="AS75" s="113">
        <v>4</v>
      </c>
      <c r="AT75" s="113">
        <v>0</v>
      </c>
      <c r="AU75" s="113">
        <v>0</v>
      </c>
      <c r="AV75" s="113">
        <v>0</v>
      </c>
      <c r="AW75" s="113">
        <v>0</v>
      </c>
      <c r="AX75" s="113">
        <v>0</v>
      </c>
      <c r="AY75" s="113">
        <v>0</v>
      </c>
      <c r="AZ75" s="113">
        <v>0</v>
      </c>
      <c r="BA75" s="113">
        <v>0</v>
      </c>
      <c r="BB75" s="113">
        <v>0</v>
      </c>
      <c r="BC75" s="113">
        <v>0</v>
      </c>
      <c r="BD75" s="113">
        <v>0</v>
      </c>
      <c r="BE75" s="113">
        <v>0</v>
      </c>
      <c r="BF75" s="113">
        <v>0</v>
      </c>
      <c r="BG75" s="113">
        <v>0</v>
      </c>
      <c r="BH75" s="113">
        <v>0</v>
      </c>
      <c r="BI75" s="113">
        <v>0</v>
      </c>
      <c r="BJ75" s="113">
        <v>0</v>
      </c>
      <c r="BK75" s="113">
        <v>0</v>
      </c>
      <c r="BL75" s="113">
        <v>0</v>
      </c>
      <c r="BM75" s="113">
        <v>0</v>
      </c>
      <c r="BN75" s="113">
        <f t="shared" ref="BN75:BN78" si="86">X75*53+Z75*77+AB75*30+AD75*40+AF75*75+AH75*140+AJ75*640+AL75*480+AN75*450+AP75*680+AR75*85+AT75*575+AV75*2+AX75*1.5+AZ75*1800+BB75*900+BD75*1500+BF75*1500+BH75*1500+BJ75*600+BL75*750</f>
        <v>65494</v>
      </c>
      <c r="BO75" s="113">
        <f t="shared" ref="BO75:BO78" si="87">Y75*53+AA75*77+AC75*30+AE75*40+AG75*75+AI75*140+AK75*640+AM75*480+AO75*450+AQ75*680+AS75*85+AU75*575+AW75*2+AY75*1.5+BA75*1800+BC75*900+BE75*1500+BG75*1500+BI75*1500+BK75*600+BM75*750</f>
        <v>65494</v>
      </c>
      <c r="BP75" s="115" t="s">
        <v>3</v>
      </c>
      <c r="BQ75" s="107" t="s">
        <v>42</v>
      </c>
      <c r="BR75" s="104" t="s">
        <v>42</v>
      </c>
      <c r="BS75" s="104" t="s">
        <v>157</v>
      </c>
      <c r="BT75" s="104" t="s">
        <v>42</v>
      </c>
      <c r="BU75" s="237" t="s">
        <v>441</v>
      </c>
      <c r="BV75" s="238"/>
      <c r="BW75" s="117">
        <v>0</v>
      </c>
      <c r="BX75" s="134">
        <v>46222</v>
      </c>
      <c r="BY75" s="239" t="s">
        <v>42</v>
      </c>
      <c r="BZ75" s="104" t="s">
        <v>244</v>
      </c>
    </row>
    <row r="76" spans="1:78" s="2" customFormat="1" ht="63" customHeight="1" outlineLevel="1" x14ac:dyDescent="0.25">
      <c r="A76" s="34">
        <v>72</v>
      </c>
      <c r="B76" s="105" t="s">
        <v>458</v>
      </c>
      <c r="C76" s="106">
        <v>246765</v>
      </c>
      <c r="D76" s="106">
        <v>1203607</v>
      </c>
      <c r="E76" s="235" t="s">
        <v>185</v>
      </c>
      <c r="F76" s="108">
        <v>46075</v>
      </c>
      <c r="G76" s="108">
        <f t="shared" ref="G76" si="88">F76-1</f>
        <v>46074</v>
      </c>
      <c r="H76" s="106">
        <v>824062</v>
      </c>
      <c r="I76" s="106" t="s">
        <v>385</v>
      </c>
      <c r="J76" s="108">
        <v>46154</v>
      </c>
      <c r="K76" s="108">
        <v>46317</v>
      </c>
      <c r="L76" s="108">
        <v>46440</v>
      </c>
      <c r="M76" s="108">
        <f t="shared" ca="1" si="32"/>
        <v>46277</v>
      </c>
      <c r="N76" s="108" t="s">
        <v>157</v>
      </c>
      <c r="O76" s="187" t="str">
        <f t="shared" ref="O76" si="89">IF(N76="Backfilling",30,IF(N76="Reinstatement",20,IF(N76="Shut Down",30,IF(N76="Returned",0,""))))</f>
        <v/>
      </c>
      <c r="P76" s="206" t="s">
        <v>268</v>
      </c>
      <c r="Q76" s="109">
        <f t="shared" ref="Q76" ca="1" si="90">M76-G76</f>
        <v>203</v>
      </c>
      <c r="R76" s="159" t="s">
        <v>269</v>
      </c>
      <c r="S76" s="236" t="s">
        <v>157</v>
      </c>
      <c r="T76" s="107" t="s">
        <v>42</v>
      </c>
      <c r="U76" s="112" t="s">
        <v>186</v>
      </c>
      <c r="V76" s="104" t="s">
        <v>344</v>
      </c>
      <c r="W76" s="163" t="s">
        <v>330</v>
      </c>
      <c r="X76" s="113">
        <v>604</v>
      </c>
      <c r="Y76" s="113">
        <v>604</v>
      </c>
      <c r="Z76" s="114"/>
      <c r="AA76" s="113"/>
      <c r="AB76" s="113"/>
      <c r="AC76" s="113"/>
      <c r="AD76" s="113">
        <v>396</v>
      </c>
      <c r="AE76" s="113">
        <v>396</v>
      </c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>
        <v>2</v>
      </c>
      <c r="AQ76" s="113">
        <v>2</v>
      </c>
      <c r="AR76" s="113">
        <v>0</v>
      </c>
      <c r="AS76" s="113">
        <v>0</v>
      </c>
      <c r="AT76" s="113"/>
      <c r="AU76" s="113"/>
      <c r="AV76" s="113"/>
      <c r="AW76" s="113"/>
      <c r="AX76" s="113"/>
      <c r="AY76" s="113"/>
      <c r="AZ76" s="113"/>
      <c r="BA76" s="113"/>
      <c r="BB76" s="113"/>
      <c r="BC76" s="113"/>
      <c r="BD76" s="113"/>
      <c r="BE76" s="113"/>
      <c r="BF76" s="113"/>
      <c r="BG76" s="113"/>
      <c r="BH76" s="113"/>
      <c r="BI76" s="113"/>
      <c r="BJ76" s="113"/>
      <c r="BK76" s="113"/>
      <c r="BL76" s="113"/>
      <c r="BM76" s="113"/>
      <c r="BN76" s="113">
        <f t="shared" si="86"/>
        <v>49212</v>
      </c>
      <c r="BO76" s="113">
        <f t="shared" si="87"/>
        <v>49212</v>
      </c>
      <c r="BP76" s="115" t="s">
        <v>3</v>
      </c>
      <c r="BQ76" s="107" t="s">
        <v>42</v>
      </c>
      <c r="BR76" s="104" t="s">
        <v>42</v>
      </c>
      <c r="BS76" s="104" t="s">
        <v>157</v>
      </c>
      <c r="BT76" s="104" t="s">
        <v>42</v>
      </c>
      <c r="BU76" s="237" t="s">
        <v>458</v>
      </c>
      <c r="BV76" s="238"/>
      <c r="BW76" s="117"/>
      <c r="BX76" s="118">
        <v>46246</v>
      </c>
      <c r="BY76" s="239" t="s">
        <v>42</v>
      </c>
      <c r="BZ76" s="104" t="s">
        <v>244</v>
      </c>
    </row>
    <row r="77" spans="1:78" s="2" customFormat="1" ht="63" customHeight="1" outlineLevel="1" x14ac:dyDescent="0.25">
      <c r="A77" s="34">
        <v>73</v>
      </c>
      <c r="B77" s="200" t="s">
        <v>470</v>
      </c>
      <c r="C77" s="121">
        <v>246765</v>
      </c>
      <c r="D77" s="121">
        <v>1203607</v>
      </c>
      <c r="E77" s="212" t="s">
        <v>185</v>
      </c>
      <c r="F77" s="123">
        <v>46075</v>
      </c>
      <c r="G77" s="123">
        <f t="shared" ref="G77" si="91">F77-1</f>
        <v>46074</v>
      </c>
      <c r="H77" s="121">
        <v>824062</v>
      </c>
      <c r="I77" s="121" t="s">
        <v>385</v>
      </c>
      <c r="J77" s="123">
        <v>46154</v>
      </c>
      <c r="K77" s="123">
        <v>46317</v>
      </c>
      <c r="L77" s="123">
        <v>46440</v>
      </c>
      <c r="M77" s="123">
        <f t="shared" ca="1" si="32"/>
        <v>46277</v>
      </c>
      <c r="N77" s="123" t="s">
        <v>157</v>
      </c>
      <c r="O77" s="210" t="str">
        <f t="shared" ref="O77" si="92">IF(N77="Backfilling",30,IF(N77="Reinstatement",20,IF(N77="Shut Down",30,IF(N77="Returned",0,""))))</f>
        <v/>
      </c>
      <c r="P77" s="204" t="s">
        <v>268</v>
      </c>
      <c r="Q77" s="124">
        <f t="shared" ref="Q77" ca="1" si="93">M77-G77</f>
        <v>203</v>
      </c>
      <c r="R77" s="211" t="s">
        <v>269</v>
      </c>
      <c r="S77" s="213" t="s">
        <v>157</v>
      </c>
      <c r="T77" s="122" t="s">
        <v>42</v>
      </c>
      <c r="U77" s="127" t="s">
        <v>186</v>
      </c>
      <c r="V77" s="120" t="s">
        <v>344</v>
      </c>
      <c r="W77" s="214" t="s">
        <v>330</v>
      </c>
      <c r="X77" s="128">
        <v>650</v>
      </c>
      <c r="Y77" s="128">
        <v>650</v>
      </c>
      <c r="Z77" s="129">
        <v>0</v>
      </c>
      <c r="AA77" s="128">
        <v>0</v>
      </c>
      <c r="AB77" s="128">
        <v>0</v>
      </c>
      <c r="AC77" s="128">
        <v>0</v>
      </c>
      <c r="AD77" s="128">
        <v>34</v>
      </c>
      <c r="AE77" s="128">
        <v>34</v>
      </c>
      <c r="AF77" s="128">
        <v>0</v>
      </c>
      <c r="AG77" s="128">
        <v>0</v>
      </c>
      <c r="AH77" s="128">
        <v>0</v>
      </c>
      <c r="AI77" s="128">
        <v>0</v>
      </c>
      <c r="AJ77" s="128">
        <v>0</v>
      </c>
      <c r="AK77" s="128">
        <v>0</v>
      </c>
      <c r="AL77" s="128">
        <v>0</v>
      </c>
      <c r="AM77" s="128">
        <v>0</v>
      </c>
      <c r="AN77" s="128">
        <v>0</v>
      </c>
      <c r="AO77" s="128">
        <v>0</v>
      </c>
      <c r="AP77" s="128">
        <v>0</v>
      </c>
      <c r="AQ77" s="128">
        <v>0</v>
      </c>
      <c r="AR77" s="128">
        <v>0</v>
      </c>
      <c r="AS77" s="128">
        <v>0</v>
      </c>
      <c r="AT77" s="128">
        <v>0</v>
      </c>
      <c r="AU77" s="128">
        <v>0</v>
      </c>
      <c r="AV77" s="128">
        <v>0</v>
      </c>
      <c r="AW77" s="128">
        <v>0</v>
      </c>
      <c r="AX77" s="128">
        <v>0</v>
      </c>
      <c r="AY77" s="128">
        <v>0</v>
      </c>
      <c r="AZ77" s="128">
        <v>0</v>
      </c>
      <c r="BA77" s="128">
        <v>0</v>
      </c>
      <c r="BB77" s="128">
        <v>0</v>
      </c>
      <c r="BC77" s="128">
        <v>0</v>
      </c>
      <c r="BD77" s="128">
        <v>0</v>
      </c>
      <c r="BE77" s="128">
        <v>0</v>
      </c>
      <c r="BF77" s="128">
        <v>0</v>
      </c>
      <c r="BG77" s="128">
        <v>0</v>
      </c>
      <c r="BH77" s="128">
        <v>0</v>
      </c>
      <c r="BI77" s="128">
        <v>0</v>
      </c>
      <c r="BJ77" s="128">
        <v>0</v>
      </c>
      <c r="BK77" s="128">
        <v>0</v>
      </c>
      <c r="BL77" s="128">
        <v>0</v>
      </c>
      <c r="BM77" s="128">
        <v>0</v>
      </c>
      <c r="BN77" s="128">
        <f t="shared" si="86"/>
        <v>35810</v>
      </c>
      <c r="BO77" s="128">
        <f t="shared" si="87"/>
        <v>35810</v>
      </c>
      <c r="BP77" s="133" t="s">
        <v>3</v>
      </c>
      <c r="BQ77" s="122" t="s">
        <v>42</v>
      </c>
      <c r="BR77" s="120" t="s">
        <v>42</v>
      </c>
      <c r="BS77" s="120" t="s">
        <v>157</v>
      </c>
      <c r="BT77" s="120" t="s">
        <v>42</v>
      </c>
      <c r="BU77" s="215" t="s">
        <v>470</v>
      </c>
      <c r="BV77" s="216"/>
      <c r="BW77" s="131"/>
      <c r="BX77" s="217">
        <v>46264</v>
      </c>
      <c r="BY77" s="218" t="s">
        <v>42</v>
      </c>
      <c r="BZ77" s="120" t="s">
        <v>246</v>
      </c>
    </row>
    <row r="78" spans="1:78" s="2" customFormat="1" ht="63" customHeight="1" outlineLevel="1" x14ac:dyDescent="0.25">
      <c r="A78" s="34">
        <v>74</v>
      </c>
      <c r="B78" s="200" t="s">
        <v>477</v>
      </c>
      <c r="C78" s="121">
        <v>246765</v>
      </c>
      <c r="D78" s="121">
        <v>1203607</v>
      </c>
      <c r="E78" s="212" t="s">
        <v>185</v>
      </c>
      <c r="F78" s="123">
        <v>46075</v>
      </c>
      <c r="G78" s="123">
        <f t="shared" ref="G78" si="94">F78-1</f>
        <v>46074</v>
      </c>
      <c r="H78" s="121">
        <v>824062</v>
      </c>
      <c r="I78" s="121" t="s">
        <v>385</v>
      </c>
      <c r="J78" s="123">
        <v>46154</v>
      </c>
      <c r="K78" s="123">
        <v>46317</v>
      </c>
      <c r="L78" s="123">
        <v>46440</v>
      </c>
      <c r="M78" s="123">
        <f t="shared" ca="1" si="32"/>
        <v>46277</v>
      </c>
      <c r="N78" s="123" t="s">
        <v>157</v>
      </c>
      <c r="O78" s="210" t="str">
        <f t="shared" ref="O78" si="95">IF(N78="Backfilling",30,IF(N78="Reinstatement",20,IF(N78="Shut Down",30,IF(N78="Returned",0,""))))</f>
        <v/>
      </c>
      <c r="P78" s="204" t="s">
        <v>268</v>
      </c>
      <c r="Q78" s="124">
        <f t="shared" ref="Q78" ca="1" si="96">M78-G78</f>
        <v>203</v>
      </c>
      <c r="R78" s="211" t="s">
        <v>269</v>
      </c>
      <c r="S78" s="213" t="s">
        <v>157</v>
      </c>
      <c r="T78" s="122" t="s">
        <v>42</v>
      </c>
      <c r="U78" s="127" t="s">
        <v>186</v>
      </c>
      <c r="V78" s="120" t="s">
        <v>344</v>
      </c>
      <c r="W78" s="214" t="s">
        <v>330</v>
      </c>
      <c r="X78" s="128">
        <v>444</v>
      </c>
      <c r="Y78" s="128">
        <v>444</v>
      </c>
      <c r="Z78" s="129">
        <v>0</v>
      </c>
      <c r="AA78" s="128">
        <v>0</v>
      </c>
      <c r="AB78" s="128">
        <v>0</v>
      </c>
      <c r="AC78" s="128">
        <v>0</v>
      </c>
      <c r="AD78" s="128"/>
      <c r="AE78" s="128"/>
      <c r="AF78" s="128">
        <v>0</v>
      </c>
      <c r="AG78" s="128">
        <v>0</v>
      </c>
      <c r="AH78" s="128">
        <v>0</v>
      </c>
      <c r="AI78" s="128">
        <v>0</v>
      </c>
      <c r="AJ78" s="128">
        <v>0</v>
      </c>
      <c r="AK78" s="128">
        <v>0</v>
      </c>
      <c r="AL78" s="128">
        <v>0</v>
      </c>
      <c r="AM78" s="128">
        <v>0</v>
      </c>
      <c r="AN78" s="128">
        <v>0</v>
      </c>
      <c r="AO78" s="128">
        <v>0</v>
      </c>
      <c r="AP78" s="128">
        <v>0</v>
      </c>
      <c r="AQ78" s="128">
        <v>0</v>
      </c>
      <c r="AR78" s="128">
        <v>0</v>
      </c>
      <c r="AS78" s="128">
        <v>0</v>
      </c>
      <c r="AT78" s="128">
        <v>0</v>
      </c>
      <c r="AU78" s="128">
        <v>0</v>
      </c>
      <c r="AV78" s="128">
        <v>0</v>
      </c>
      <c r="AW78" s="128">
        <v>0</v>
      </c>
      <c r="AX78" s="128">
        <v>0</v>
      </c>
      <c r="AY78" s="128">
        <v>0</v>
      </c>
      <c r="AZ78" s="128">
        <v>0</v>
      </c>
      <c r="BA78" s="128">
        <v>0</v>
      </c>
      <c r="BB78" s="128">
        <v>0</v>
      </c>
      <c r="BC78" s="128">
        <v>0</v>
      </c>
      <c r="BD78" s="128">
        <v>0</v>
      </c>
      <c r="BE78" s="128">
        <v>0</v>
      </c>
      <c r="BF78" s="128">
        <v>0</v>
      </c>
      <c r="BG78" s="128">
        <v>0</v>
      </c>
      <c r="BH78" s="128">
        <v>0</v>
      </c>
      <c r="BI78" s="128">
        <v>0</v>
      </c>
      <c r="BJ78" s="128">
        <v>0</v>
      </c>
      <c r="BK78" s="128">
        <v>0</v>
      </c>
      <c r="BL78" s="128">
        <v>0</v>
      </c>
      <c r="BM78" s="128">
        <v>0</v>
      </c>
      <c r="BN78" s="128">
        <f t="shared" si="86"/>
        <v>23532</v>
      </c>
      <c r="BO78" s="128">
        <f t="shared" si="87"/>
        <v>23532</v>
      </c>
      <c r="BP78" s="133" t="s">
        <v>157</v>
      </c>
      <c r="BQ78" s="122" t="s">
        <v>42</v>
      </c>
      <c r="BR78" s="120" t="s">
        <v>42</v>
      </c>
      <c r="BS78" s="120" t="s">
        <v>157</v>
      </c>
      <c r="BT78" s="120" t="s">
        <v>42</v>
      </c>
      <c r="BU78" s="215" t="s">
        <v>477</v>
      </c>
      <c r="BV78" s="216"/>
      <c r="BW78" s="131"/>
      <c r="BX78" s="217">
        <v>46273</v>
      </c>
      <c r="BY78" s="218" t="s">
        <v>42</v>
      </c>
      <c r="BZ78" s="120" t="s">
        <v>157</v>
      </c>
    </row>
    <row r="79" spans="1:78" s="2" customFormat="1" ht="63" customHeight="1" outlineLevel="1" x14ac:dyDescent="0.25">
      <c r="A79" s="34">
        <v>75</v>
      </c>
      <c r="B79" s="172">
        <v>35</v>
      </c>
      <c r="C79" s="173">
        <v>247038</v>
      </c>
      <c r="D79" s="173">
        <v>1206425</v>
      </c>
      <c r="E79" s="174" t="s">
        <v>196</v>
      </c>
      <c r="F79" s="175">
        <v>46082</v>
      </c>
      <c r="G79" s="175">
        <v>46083</v>
      </c>
      <c r="H79" s="173" t="s">
        <v>192</v>
      </c>
      <c r="I79" s="173" t="s">
        <v>276</v>
      </c>
      <c r="J79" s="175" t="s">
        <v>161</v>
      </c>
      <c r="K79" s="175" t="s">
        <v>161</v>
      </c>
      <c r="L79" s="175">
        <v>46266</v>
      </c>
      <c r="M79" s="175">
        <v>46187</v>
      </c>
      <c r="N79" s="175" t="s">
        <v>240</v>
      </c>
      <c r="O79" s="179">
        <f t="shared" si="1"/>
        <v>30</v>
      </c>
      <c r="P79" s="205" t="s">
        <v>268</v>
      </c>
      <c r="Q79" s="176">
        <f>M79-G79</f>
        <v>104</v>
      </c>
      <c r="R79" s="176" t="s">
        <v>269</v>
      </c>
      <c r="S79" s="177" t="s">
        <v>177</v>
      </c>
      <c r="T79" s="178" t="s">
        <v>42</v>
      </c>
      <c r="U79" s="179" t="s">
        <v>197</v>
      </c>
      <c r="V79" s="175" t="s">
        <v>343</v>
      </c>
      <c r="W79" s="179" t="s">
        <v>331</v>
      </c>
      <c r="X79" s="180">
        <v>0</v>
      </c>
      <c r="Y79" s="180">
        <v>0</v>
      </c>
      <c r="Z79" s="181">
        <v>0</v>
      </c>
      <c r="AA79" s="180">
        <v>0</v>
      </c>
      <c r="AB79" s="180">
        <v>0</v>
      </c>
      <c r="AC79" s="180">
        <v>0</v>
      </c>
      <c r="AD79" s="180">
        <v>0</v>
      </c>
      <c r="AE79" s="180">
        <v>0</v>
      </c>
      <c r="AF79" s="180">
        <v>0</v>
      </c>
      <c r="AG79" s="180">
        <v>0</v>
      </c>
      <c r="AH79" s="180">
        <v>0</v>
      </c>
      <c r="AI79" s="180">
        <v>0</v>
      </c>
      <c r="AJ79" s="180">
        <v>0</v>
      </c>
      <c r="AK79" s="180">
        <v>0</v>
      </c>
      <c r="AL79" s="180">
        <v>0</v>
      </c>
      <c r="AM79" s="180">
        <v>0</v>
      </c>
      <c r="AN79" s="180">
        <v>0</v>
      </c>
      <c r="AO79" s="180">
        <v>0</v>
      </c>
      <c r="AP79" s="180">
        <v>0</v>
      </c>
      <c r="AQ79" s="180">
        <v>0</v>
      </c>
      <c r="AR79" s="180">
        <v>0</v>
      </c>
      <c r="AS79" s="180">
        <v>0</v>
      </c>
      <c r="AT79" s="180">
        <v>0</v>
      </c>
      <c r="AU79" s="180">
        <v>0</v>
      </c>
      <c r="AV79" s="180">
        <v>232</v>
      </c>
      <c r="AW79" s="180">
        <v>232</v>
      </c>
      <c r="AX79" s="180">
        <v>0</v>
      </c>
      <c r="AY79" s="180">
        <v>0</v>
      </c>
      <c r="AZ79" s="180">
        <v>0</v>
      </c>
      <c r="BA79" s="180">
        <v>0</v>
      </c>
      <c r="BB79" s="180">
        <v>0</v>
      </c>
      <c r="BC79" s="180">
        <v>0</v>
      </c>
      <c r="BD79" s="180">
        <v>0</v>
      </c>
      <c r="BE79" s="180">
        <v>0</v>
      </c>
      <c r="BF79" s="180">
        <v>0</v>
      </c>
      <c r="BG79" s="180">
        <v>0</v>
      </c>
      <c r="BH79" s="180">
        <v>0</v>
      </c>
      <c r="BI79" s="180">
        <v>0</v>
      </c>
      <c r="BJ79" s="180">
        <v>0</v>
      </c>
      <c r="BK79" s="180">
        <v>0</v>
      </c>
      <c r="BL79" s="180">
        <v>0</v>
      </c>
      <c r="BM79" s="180">
        <v>0</v>
      </c>
      <c r="BN79" s="180">
        <f t="shared" si="2"/>
        <v>464</v>
      </c>
      <c r="BO79" s="180">
        <f t="shared" si="79"/>
        <v>464</v>
      </c>
      <c r="BP79" s="177" t="s">
        <v>177</v>
      </c>
      <c r="BQ79" s="172" t="s">
        <v>270</v>
      </c>
      <c r="BR79" s="172" t="s">
        <v>177</v>
      </c>
      <c r="BS79" s="172" t="s">
        <v>250</v>
      </c>
      <c r="BT79" s="172" t="s">
        <v>424</v>
      </c>
      <c r="BU79" s="183">
        <v>35</v>
      </c>
      <c r="BV79" s="193"/>
      <c r="BW79" s="184">
        <f t="shared" ref="BW79:BW81" si="97">BO79</f>
        <v>464</v>
      </c>
      <c r="BX79" s="185">
        <v>46185</v>
      </c>
      <c r="BY79" s="186" t="s">
        <v>250</v>
      </c>
      <c r="BZ79" s="182" t="s">
        <v>177</v>
      </c>
    </row>
    <row r="80" spans="1:78" s="2" customFormat="1" ht="63" customHeight="1" outlineLevel="1" x14ac:dyDescent="0.25">
      <c r="A80" s="34">
        <v>76</v>
      </c>
      <c r="B80" s="172">
        <v>36</v>
      </c>
      <c r="C80" s="173">
        <v>247244</v>
      </c>
      <c r="D80" s="173">
        <v>1207107</v>
      </c>
      <c r="E80" s="174" t="s">
        <v>198</v>
      </c>
      <c r="F80" s="175">
        <v>46093</v>
      </c>
      <c r="G80" s="175">
        <f t="shared" si="0"/>
        <v>46092</v>
      </c>
      <c r="H80" s="173" t="s">
        <v>192</v>
      </c>
      <c r="I80" s="173" t="s">
        <v>276</v>
      </c>
      <c r="J80" s="175" t="s">
        <v>161</v>
      </c>
      <c r="K80" s="175" t="s">
        <v>161</v>
      </c>
      <c r="L80" s="175">
        <v>46215</v>
      </c>
      <c r="M80" s="175">
        <f t="shared" ca="1" si="32"/>
        <v>46277</v>
      </c>
      <c r="N80" s="175" t="s">
        <v>267</v>
      </c>
      <c r="O80" s="179">
        <f t="shared" si="1"/>
        <v>30</v>
      </c>
      <c r="P80" s="205" t="s">
        <v>268</v>
      </c>
      <c r="Q80" s="176">
        <f t="shared" ca="1" si="64"/>
        <v>185</v>
      </c>
      <c r="R80" s="176" t="s">
        <v>269</v>
      </c>
      <c r="S80" s="177" t="s">
        <v>177</v>
      </c>
      <c r="T80" s="178" t="s">
        <v>265</v>
      </c>
      <c r="U80" s="179"/>
      <c r="V80" s="175" t="s">
        <v>342</v>
      </c>
      <c r="W80" s="179" t="s">
        <v>315</v>
      </c>
      <c r="X80" s="180">
        <v>0</v>
      </c>
      <c r="Y80" s="180">
        <v>0</v>
      </c>
      <c r="Z80" s="181">
        <v>0</v>
      </c>
      <c r="AA80" s="180">
        <v>0</v>
      </c>
      <c r="AB80" s="180">
        <v>0</v>
      </c>
      <c r="AC80" s="180">
        <v>0</v>
      </c>
      <c r="AD80" s="180">
        <v>0</v>
      </c>
      <c r="AE80" s="180">
        <v>0</v>
      </c>
      <c r="AF80" s="180">
        <v>0</v>
      </c>
      <c r="AG80" s="180">
        <v>0</v>
      </c>
      <c r="AH80" s="180">
        <v>0</v>
      </c>
      <c r="AI80" s="180">
        <v>0</v>
      </c>
      <c r="AJ80" s="180">
        <v>0</v>
      </c>
      <c r="AK80" s="180">
        <v>0</v>
      </c>
      <c r="AL80" s="180">
        <v>0</v>
      </c>
      <c r="AM80" s="180">
        <v>0</v>
      </c>
      <c r="AN80" s="180">
        <v>18</v>
      </c>
      <c r="AO80" s="180">
        <v>18</v>
      </c>
      <c r="AP80" s="180">
        <v>0</v>
      </c>
      <c r="AQ80" s="180">
        <v>0</v>
      </c>
      <c r="AR80" s="180">
        <v>0</v>
      </c>
      <c r="AS80" s="180">
        <v>0</v>
      </c>
      <c r="AT80" s="180">
        <v>0</v>
      </c>
      <c r="AU80" s="180">
        <v>0</v>
      </c>
      <c r="AV80" s="180">
        <v>0</v>
      </c>
      <c r="AW80" s="180">
        <v>0</v>
      </c>
      <c r="AX80" s="180">
        <v>0</v>
      </c>
      <c r="AY80" s="180">
        <v>0</v>
      </c>
      <c r="AZ80" s="180">
        <v>0</v>
      </c>
      <c r="BA80" s="180">
        <v>0</v>
      </c>
      <c r="BB80" s="180">
        <v>0</v>
      </c>
      <c r="BC80" s="180">
        <v>0</v>
      </c>
      <c r="BD80" s="180">
        <v>0</v>
      </c>
      <c r="BE80" s="180">
        <v>0</v>
      </c>
      <c r="BF80" s="180">
        <v>0</v>
      </c>
      <c r="BG80" s="180">
        <v>0</v>
      </c>
      <c r="BH80" s="180">
        <v>0</v>
      </c>
      <c r="BI80" s="180">
        <v>0</v>
      </c>
      <c r="BJ80" s="180">
        <v>0</v>
      </c>
      <c r="BK80" s="180">
        <v>0</v>
      </c>
      <c r="BL80" s="180">
        <v>0</v>
      </c>
      <c r="BM80" s="180">
        <v>0</v>
      </c>
      <c r="BN80" s="180">
        <f t="shared" si="2"/>
        <v>8100</v>
      </c>
      <c r="BO80" s="180">
        <f t="shared" si="60"/>
        <v>8100</v>
      </c>
      <c r="BP80" s="177" t="s">
        <v>177</v>
      </c>
      <c r="BQ80" s="172" t="s">
        <v>270</v>
      </c>
      <c r="BR80" s="172" t="s">
        <v>177</v>
      </c>
      <c r="BS80" s="172" t="s">
        <v>265</v>
      </c>
      <c r="BT80" s="172" t="s">
        <v>389</v>
      </c>
      <c r="BU80" s="183">
        <v>36</v>
      </c>
      <c r="BV80" s="193"/>
      <c r="BW80" s="184">
        <f t="shared" si="97"/>
        <v>8100</v>
      </c>
      <c r="BX80" s="185">
        <v>46107</v>
      </c>
      <c r="BY80" s="186" t="s">
        <v>250</v>
      </c>
      <c r="BZ80" s="182" t="s">
        <v>177</v>
      </c>
    </row>
    <row r="81" spans="1:78" s="2" customFormat="1" ht="63" customHeight="1" outlineLevel="1" x14ac:dyDescent="0.25">
      <c r="A81" s="34">
        <v>77</v>
      </c>
      <c r="B81" s="172">
        <v>37</v>
      </c>
      <c r="C81" s="173">
        <v>247245</v>
      </c>
      <c r="D81" s="173">
        <v>1207108</v>
      </c>
      <c r="E81" s="174" t="s">
        <v>199</v>
      </c>
      <c r="F81" s="175">
        <v>46093</v>
      </c>
      <c r="G81" s="175">
        <f t="shared" si="0"/>
        <v>46092</v>
      </c>
      <c r="H81" s="173" t="s">
        <v>192</v>
      </c>
      <c r="I81" s="173" t="s">
        <v>276</v>
      </c>
      <c r="J81" s="175" t="s">
        <v>161</v>
      </c>
      <c r="K81" s="175" t="s">
        <v>161</v>
      </c>
      <c r="L81" s="175">
        <v>46215</v>
      </c>
      <c r="M81" s="175">
        <f t="shared" ca="1" si="32"/>
        <v>46277</v>
      </c>
      <c r="N81" s="175" t="s">
        <v>267</v>
      </c>
      <c r="O81" s="179">
        <f t="shared" si="1"/>
        <v>30</v>
      </c>
      <c r="P81" s="205" t="s">
        <v>268</v>
      </c>
      <c r="Q81" s="176">
        <f t="shared" ca="1" si="64"/>
        <v>185</v>
      </c>
      <c r="R81" s="176" t="s">
        <v>269</v>
      </c>
      <c r="S81" s="177" t="s">
        <v>177</v>
      </c>
      <c r="T81" s="178" t="s">
        <v>265</v>
      </c>
      <c r="U81" s="179"/>
      <c r="V81" s="175" t="s">
        <v>341</v>
      </c>
      <c r="W81" s="179" t="s">
        <v>324</v>
      </c>
      <c r="X81" s="180">
        <v>0</v>
      </c>
      <c r="Y81" s="180">
        <v>0</v>
      </c>
      <c r="Z81" s="181">
        <v>0</v>
      </c>
      <c r="AA81" s="180">
        <v>0</v>
      </c>
      <c r="AB81" s="180">
        <v>0</v>
      </c>
      <c r="AC81" s="180">
        <v>0</v>
      </c>
      <c r="AD81" s="180">
        <v>0</v>
      </c>
      <c r="AE81" s="180">
        <v>0</v>
      </c>
      <c r="AF81" s="180">
        <v>0</v>
      </c>
      <c r="AG81" s="180">
        <v>0</v>
      </c>
      <c r="AH81" s="180">
        <v>0</v>
      </c>
      <c r="AI81" s="180">
        <v>0</v>
      </c>
      <c r="AJ81" s="180">
        <v>0</v>
      </c>
      <c r="AK81" s="180">
        <v>0</v>
      </c>
      <c r="AL81" s="180">
        <v>0</v>
      </c>
      <c r="AM81" s="180">
        <v>0</v>
      </c>
      <c r="AN81" s="180">
        <v>20</v>
      </c>
      <c r="AO81" s="180">
        <v>20</v>
      </c>
      <c r="AP81" s="180">
        <v>0</v>
      </c>
      <c r="AQ81" s="180">
        <v>0</v>
      </c>
      <c r="AR81" s="180">
        <v>0</v>
      </c>
      <c r="AS81" s="180">
        <v>0</v>
      </c>
      <c r="AT81" s="180">
        <v>0</v>
      </c>
      <c r="AU81" s="180">
        <v>0</v>
      </c>
      <c r="AV81" s="180">
        <v>0</v>
      </c>
      <c r="AW81" s="180">
        <v>0</v>
      </c>
      <c r="AX81" s="180">
        <v>0</v>
      </c>
      <c r="AY81" s="180">
        <v>0</v>
      </c>
      <c r="AZ81" s="180">
        <v>0</v>
      </c>
      <c r="BA81" s="180">
        <v>0</v>
      </c>
      <c r="BB81" s="180">
        <v>0</v>
      </c>
      <c r="BC81" s="180">
        <v>0</v>
      </c>
      <c r="BD81" s="180">
        <v>0</v>
      </c>
      <c r="BE81" s="180">
        <v>0</v>
      </c>
      <c r="BF81" s="180">
        <v>0</v>
      </c>
      <c r="BG81" s="180">
        <v>0</v>
      </c>
      <c r="BH81" s="180">
        <v>0</v>
      </c>
      <c r="BI81" s="180">
        <v>0</v>
      </c>
      <c r="BJ81" s="180">
        <v>0</v>
      </c>
      <c r="BK81" s="180">
        <v>0</v>
      </c>
      <c r="BL81" s="180">
        <v>0</v>
      </c>
      <c r="BM81" s="180">
        <v>0</v>
      </c>
      <c r="BN81" s="180">
        <f t="shared" si="2"/>
        <v>9000</v>
      </c>
      <c r="BO81" s="180">
        <f t="shared" si="60"/>
        <v>9000</v>
      </c>
      <c r="BP81" s="177" t="s">
        <v>177</v>
      </c>
      <c r="BQ81" s="172" t="s">
        <v>270</v>
      </c>
      <c r="BR81" s="172" t="s">
        <v>177</v>
      </c>
      <c r="BS81" s="172" t="s">
        <v>265</v>
      </c>
      <c r="BT81" s="172" t="s">
        <v>389</v>
      </c>
      <c r="BU81" s="183">
        <v>37</v>
      </c>
      <c r="BV81" s="193"/>
      <c r="BW81" s="184">
        <f t="shared" si="97"/>
        <v>9000</v>
      </c>
      <c r="BX81" s="185">
        <v>46107</v>
      </c>
      <c r="BY81" s="186" t="s">
        <v>250</v>
      </c>
      <c r="BZ81" s="182" t="s">
        <v>177</v>
      </c>
    </row>
    <row r="82" spans="1:78" s="2" customFormat="1" ht="63" customHeight="1" outlineLevel="1" x14ac:dyDescent="0.25">
      <c r="A82" s="34">
        <v>78</v>
      </c>
      <c r="B82" s="200">
        <v>38</v>
      </c>
      <c r="C82" s="121">
        <v>247369</v>
      </c>
      <c r="D82" s="121">
        <v>1207693</v>
      </c>
      <c r="E82" s="212" t="s">
        <v>201</v>
      </c>
      <c r="F82" s="123">
        <v>46105</v>
      </c>
      <c r="G82" s="123">
        <f t="shared" si="0"/>
        <v>46104</v>
      </c>
      <c r="H82" s="121" t="s">
        <v>382</v>
      </c>
      <c r="I82" s="121" t="s">
        <v>385</v>
      </c>
      <c r="J82" s="123">
        <v>46124</v>
      </c>
      <c r="K82" s="123">
        <v>46303</v>
      </c>
      <c r="L82" s="123">
        <v>46288</v>
      </c>
      <c r="M82" s="123">
        <f t="shared" ca="1" si="32"/>
        <v>46277</v>
      </c>
      <c r="N82" s="123" t="s">
        <v>157</v>
      </c>
      <c r="O82" s="210" t="str">
        <f t="shared" si="1"/>
        <v/>
      </c>
      <c r="P82" s="204" t="s">
        <v>268</v>
      </c>
      <c r="Q82" s="124">
        <f t="shared" ca="1" si="64"/>
        <v>173</v>
      </c>
      <c r="R82" s="211" t="s">
        <v>269</v>
      </c>
      <c r="S82" s="213" t="s">
        <v>42</v>
      </c>
      <c r="T82" s="122" t="s">
        <v>42</v>
      </c>
      <c r="U82" s="127" t="s">
        <v>202</v>
      </c>
      <c r="V82" s="120" t="s">
        <v>359</v>
      </c>
      <c r="W82" s="214" t="s">
        <v>332</v>
      </c>
      <c r="X82" s="128">
        <f>1234-227-232</f>
        <v>775</v>
      </c>
      <c r="Y82" s="128">
        <v>0</v>
      </c>
      <c r="Z82" s="129">
        <v>0</v>
      </c>
      <c r="AA82" s="128">
        <v>0</v>
      </c>
      <c r="AB82" s="128">
        <v>0</v>
      </c>
      <c r="AC82" s="128">
        <v>0</v>
      </c>
      <c r="AD82" s="128">
        <v>147</v>
      </c>
      <c r="AE82" s="128">
        <v>0</v>
      </c>
      <c r="AF82" s="128">
        <v>10</v>
      </c>
      <c r="AG82" s="128">
        <v>0</v>
      </c>
      <c r="AH82" s="128">
        <v>0</v>
      </c>
      <c r="AI82" s="128">
        <v>0</v>
      </c>
      <c r="AJ82" s="128">
        <v>0</v>
      </c>
      <c r="AK82" s="128">
        <v>0</v>
      </c>
      <c r="AL82" s="128">
        <v>1</v>
      </c>
      <c r="AM82" s="128">
        <v>0</v>
      </c>
      <c r="AN82" s="128">
        <v>0</v>
      </c>
      <c r="AO82" s="128">
        <v>0</v>
      </c>
      <c r="AP82" s="128">
        <v>8</v>
      </c>
      <c r="AQ82" s="128">
        <v>0</v>
      </c>
      <c r="AR82" s="128">
        <v>2</v>
      </c>
      <c r="AS82" s="128">
        <v>0</v>
      </c>
      <c r="AT82" s="128">
        <v>0</v>
      </c>
      <c r="AU82" s="128">
        <v>0</v>
      </c>
      <c r="AV82" s="128">
        <v>650</v>
      </c>
      <c r="AW82" s="128">
        <v>0</v>
      </c>
      <c r="AX82" s="128">
        <v>900</v>
      </c>
      <c r="AY82" s="128">
        <v>0</v>
      </c>
      <c r="AZ82" s="128">
        <v>0</v>
      </c>
      <c r="BA82" s="128">
        <v>0</v>
      </c>
      <c r="BB82" s="128">
        <v>1</v>
      </c>
      <c r="BC82" s="128">
        <v>0</v>
      </c>
      <c r="BD82" s="128">
        <v>1</v>
      </c>
      <c r="BE82" s="128">
        <v>0</v>
      </c>
      <c r="BF82" s="128">
        <v>1</v>
      </c>
      <c r="BG82" s="128">
        <v>0</v>
      </c>
      <c r="BH82" s="128">
        <v>0</v>
      </c>
      <c r="BI82" s="128">
        <v>0</v>
      </c>
      <c r="BJ82" s="128">
        <v>1</v>
      </c>
      <c r="BK82" s="128">
        <v>0</v>
      </c>
      <c r="BL82" s="128">
        <v>1</v>
      </c>
      <c r="BM82" s="128"/>
      <c r="BN82" s="128">
        <f t="shared" si="2"/>
        <v>61695</v>
      </c>
      <c r="BO82" s="128">
        <f t="shared" si="60"/>
        <v>0</v>
      </c>
      <c r="BP82" s="133" t="s">
        <v>157</v>
      </c>
      <c r="BQ82" s="122" t="s">
        <v>42</v>
      </c>
      <c r="BR82" s="120" t="s">
        <v>42</v>
      </c>
      <c r="BS82" s="120" t="s">
        <v>157</v>
      </c>
      <c r="BT82" s="120" t="s">
        <v>42</v>
      </c>
      <c r="BU82" s="215">
        <v>38</v>
      </c>
      <c r="BV82" s="216"/>
      <c r="BW82" s="131">
        <v>0</v>
      </c>
      <c r="BX82" s="217" t="s">
        <v>156</v>
      </c>
      <c r="BY82" s="218" t="s">
        <v>42</v>
      </c>
      <c r="BZ82" s="120" t="s">
        <v>157</v>
      </c>
    </row>
    <row r="83" spans="1:78" s="2" customFormat="1" ht="63" customHeight="1" outlineLevel="1" x14ac:dyDescent="0.25">
      <c r="A83" s="34">
        <v>79</v>
      </c>
      <c r="B83" s="105" t="s">
        <v>453</v>
      </c>
      <c r="C83" s="106">
        <v>247369</v>
      </c>
      <c r="D83" s="106">
        <v>1207693</v>
      </c>
      <c r="E83" s="235" t="s">
        <v>201</v>
      </c>
      <c r="F83" s="108">
        <v>46105</v>
      </c>
      <c r="G83" s="108">
        <v>46104</v>
      </c>
      <c r="H83" s="106" t="s">
        <v>382</v>
      </c>
      <c r="I83" s="106" t="s">
        <v>385</v>
      </c>
      <c r="J83" s="108">
        <v>46124</v>
      </c>
      <c r="K83" s="108">
        <v>46303</v>
      </c>
      <c r="L83" s="108">
        <v>46288</v>
      </c>
      <c r="M83" s="108">
        <v>46233</v>
      </c>
      <c r="N83" s="108" t="s">
        <v>157</v>
      </c>
      <c r="O83" s="187" t="s">
        <v>452</v>
      </c>
      <c r="P83" s="206" t="s">
        <v>268</v>
      </c>
      <c r="Q83" s="109">
        <v>129</v>
      </c>
      <c r="R83" s="159" t="s">
        <v>269</v>
      </c>
      <c r="S83" s="236" t="s">
        <v>42</v>
      </c>
      <c r="T83" s="107" t="s">
        <v>42</v>
      </c>
      <c r="U83" s="112" t="s">
        <v>202</v>
      </c>
      <c r="V83" s="104" t="s">
        <v>359</v>
      </c>
      <c r="W83" s="163" t="s">
        <v>332</v>
      </c>
      <c r="X83" s="113">
        <v>227</v>
      </c>
      <c r="Y83" s="113">
        <v>227</v>
      </c>
      <c r="Z83" s="114"/>
      <c r="AA83" s="113"/>
      <c r="AB83" s="113"/>
      <c r="AC83" s="113"/>
      <c r="AD83" s="113">
        <v>10</v>
      </c>
      <c r="AE83" s="113">
        <v>10</v>
      </c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>
        <v>250</v>
      </c>
      <c r="AW83" s="113">
        <v>250</v>
      </c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113"/>
      <c r="BI83" s="113"/>
      <c r="BJ83" s="113"/>
      <c r="BK83" s="113"/>
      <c r="BL83" s="113"/>
      <c r="BM83" s="113"/>
      <c r="BN83" s="113">
        <f t="shared" si="2"/>
        <v>12931</v>
      </c>
      <c r="BO83" s="113">
        <f t="shared" si="60"/>
        <v>12931</v>
      </c>
      <c r="BP83" s="115" t="s">
        <v>3</v>
      </c>
      <c r="BQ83" s="107" t="s">
        <v>42</v>
      </c>
      <c r="BR83" s="104" t="s">
        <v>42</v>
      </c>
      <c r="BS83" s="104" t="s">
        <v>157</v>
      </c>
      <c r="BT83" s="104" t="s">
        <v>42</v>
      </c>
      <c r="BU83" s="237" t="s">
        <v>454</v>
      </c>
      <c r="BV83" s="238"/>
      <c r="BW83" s="117"/>
      <c r="BX83" s="134">
        <v>46231</v>
      </c>
      <c r="BY83" s="239" t="s">
        <v>42</v>
      </c>
      <c r="BZ83" s="104" t="s">
        <v>3</v>
      </c>
    </row>
    <row r="84" spans="1:78" s="2" customFormat="1" ht="63" customHeight="1" outlineLevel="1" x14ac:dyDescent="0.25">
      <c r="A84" s="34">
        <v>80</v>
      </c>
      <c r="B84" s="200" t="s">
        <v>468</v>
      </c>
      <c r="C84" s="121">
        <v>247369</v>
      </c>
      <c r="D84" s="121">
        <v>1207693</v>
      </c>
      <c r="E84" s="212" t="s">
        <v>201</v>
      </c>
      <c r="F84" s="123">
        <v>46105</v>
      </c>
      <c r="G84" s="123">
        <v>46104</v>
      </c>
      <c r="H84" s="121" t="s">
        <v>382</v>
      </c>
      <c r="I84" s="121" t="s">
        <v>385</v>
      </c>
      <c r="J84" s="123">
        <v>46124</v>
      </c>
      <c r="K84" s="123">
        <v>46303</v>
      </c>
      <c r="L84" s="123">
        <v>46288</v>
      </c>
      <c r="M84" s="123">
        <v>46263</v>
      </c>
      <c r="N84" s="123" t="s">
        <v>157</v>
      </c>
      <c r="O84" s="210" t="s">
        <v>452</v>
      </c>
      <c r="P84" s="204" t="s">
        <v>268</v>
      </c>
      <c r="Q84" s="124">
        <v>159</v>
      </c>
      <c r="R84" s="211" t="s">
        <v>269</v>
      </c>
      <c r="S84" s="213" t="s">
        <v>42</v>
      </c>
      <c r="T84" s="122" t="s">
        <v>42</v>
      </c>
      <c r="U84" s="127" t="s">
        <v>202</v>
      </c>
      <c r="V84" s="120" t="s">
        <v>359</v>
      </c>
      <c r="W84" s="214" t="s">
        <v>332</v>
      </c>
      <c r="X84" s="128">
        <v>232</v>
      </c>
      <c r="Y84" s="128">
        <v>232</v>
      </c>
      <c r="Z84" s="129">
        <v>36</v>
      </c>
      <c r="AA84" s="128">
        <v>36</v>
      </c>
      <c r="AB84" s="128"/>
      <c r="AC84" s="128"/>
      <c r="AD84" s="128">
        <f>25+93</f>
        <v>118</v>
      </c>
      <c r="AE84" s="128">
        <f>25+93</f>
        <v>118</v>
      </c>
      <c r="AF84" s="128"/>
      <c r="AG84" s="128"/>
      <c r="AH84" s="128">
        <v>45</v>
      </c>
      <c r="AI84" s="128">
        <v>45</v>
      </c>
      <c r="AJ84" s="128"/>
      <c r="AK84" s="128"/>
      <c r="AL84" s="128"/>
      <c r="AM84" s="128"/>
      <c r="AN84" s="128"/>
      <c r="AO84" s="128"/>
      <c r="AP84" s="128">
        <v>1</v>
      </c>
      <c r="AQ84" s="128">
        <v>1</v>
      </c>
      <c r="AR84" s="128"/>
      <c r="AS84" s="128"/>
      <c r="AT84" s="128"/>
      <c r="AU84" s="128"/>
      <c r="AV84" s="128">
        <v>250</v>
      </c>
      <c r="AW84" s="128">
        <v>250</v>
      </c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>
        <f t="shared" si="2"/>
        <v>27268</v>
      </c>
      <c r="BO84" s="128">
        <f t="shared" si="60"/>
        <v>27268</v>
      </c>
      <c r="BP84" s="133" t="s">
        <v>3</v>
      </c>
      <c r="BQ84" s="122" t="s">
        <v>42</v>
      </c>
      <c r="BR84" s="120" t="s">
        <v>42</v>
      </c>
      <c r="BS84" s="120" t="s">
        <v>157</v>
      </c>
      <c r="BT84" s="120" t="s">
        <v>42</v>
      </c>
      <c r="BU84" s="215" t="s">
        <v>469</v>
      </c>
      <c r="BV84" s="216"/>
      <c r="BW84" s="131"/>
      <c r="BX84" s="217">
        <v>46260</v>
      </c>
      <c r="BY84" s="218" t="s">
        <v>42</v>
      </c>
      <c r="BZ84" s="120" t="s">
        <v>245</v>
      </c>
    </row>
    <row r="85" spans="1:78" s="2" customFormat="1" ht="63" customHeight="1" outlineLevel="1" x14ac:dyDescent="0.25">
      <c r="A85" s="34">
        <v>81</v>
      </c>
      <c r="B85" s="102">
        <v>39</v>
      </c>
      <c r="C85" s="89">
        <v>247372</v>
      </c>
      <c r="D85" s="89">
        <v>1207697</v>
      </c>
      <c r="E85" s="219" t="s">
        <v>203</v>
      </c>
      <c r="F85" s="91">
        <v>46105</v>
      </c>
      <c r="G85" s="91">
        <f t="shared" si="0"/>
        <v>46104</v>
      </c>
      <c r="H85" s="89">
        <v>821174</v>
      </c>
      <c r="I85" s="89" t="s">
        <v>385</v>
      </c>
      <c r="J85" s="91">
        <v>46131</v>
      </c>
      <c r="K85" s="91">
        <v>46303</v>
      </c>
      <c r="L85" s="91">
        <v>46288</v>
      </c>
      <c r="M85" s="91">
        <f t="shared" ca="1" si="32"/>
        <v>46277</v>
      </c>
      <c r="N85" s="91" t="s">
        <v>358</v>
      </c>
      <c r="O85" s="168">
        <f t="shared" si="1"/>
        <v>0</v>
      </c>
      <c r="P85" s="203" t="s">
        <v>268</v>
      </c>
      <c r="Q85" s="92">
        <f t="shared" ca="1" si="64"/>
        <v>173</v>
      </c>
      <c r="R85" s="220" t="s">
        <v>269</v>
      </c>
      <c r="S85" s="221" t="s">
        <v>42</v>
      </c>
      <c r="T85" s="90" t="s">
        <v>42</v>
      </c>
      <c r="U85" s="95" t="s">
        <v>204</v>
      </c>
      <c r="V85" s="87" t="s">
        <v>340</v>
      </c>
      <c r="W85" s="164" t="s">
        <v>313</v>
      </c>
      <c r="X85" s="96">
        <v>0</v>
      </c>
      <c r="Y85" s="96">
        <v>0</v>
      </c>
      <c r="Z85" s="97">
        <v>0</v>
      </c>
      <c r="AA85" s="96">
        <v>0</v>
      </c>
      <c r="AB85" s="96">
        <v>0</v>
      </c>
      <c r="AC85" s="96">
        <v>0</v>
      </c>
      <c r="AD85" s="96">
        <v>0</v>
      </c>
      <c r="AE85" s="96">
        <v>0</v>
      </c>
      <c r="AF85" s="96">
        <v>0</v>
      </c>
      <c r="AG85" s="96">
        <v>0</v>
      </c>
      <c r="AH85" s="96">
        <v>0</v>
      </c>
      <c r="AI85" s="96">
        <v>0</v>
      </c>
      <c r="AJ85" s="96">
        <v>0</v>
      </c>
      <c r="AK85" s="96">
        <v>0</v>
      </c>
      <c r="AL85" s="96">
        <v>0</v>
      </c>
      <c r="AM85" s="96">
        <v>0</v>
      </c>
      <c r="AN85" s="96">
        <v>0</v>
      </c>
      <c r="AO85" s="96">
        <v>0</v>
      </c>
      <c r="AP85" s="96">
        <v>0</v>
      </c>
      <c r="AQ85" s="96">
        <v>0</v>
      </c>
      <c r="AR85" s="96">
        <v>0</v>
      </c>
      <c r="AS85" s="96">
        <v>0</v>
      </c>
      <c r="AT85" s="96">
        <v>0</v>
      </c>
      <c r="AU85" s="96">
        <v>0</v>
      </c>
      <c r="AV85" s="96">
        <v>0</v>
      </c>
      <c r="AW85" s="96">
        <v>0</v>
      </c>
      <c r="AX85" s="96">
        <v>0</v>
      </c>
      <c r="AY85" s="96">
        <v>0</v>
      </c>
      <c r="AZ85" s="96">
        <v>0</v>
      </c>
      <c r="BA85" s="96">
        <v>0</v>
      </c>
      <c r="BB85" s="96">
        <v>0</v>
      </c>
      <c r="BC85" s="96">
        <v>0</v>
      </c>
      <c r="BD85" s="96">
        <v>0</v>
      </c>
      <c r="BE85" s="96">
        <v>0</v>
      </c>
      <c r="BF85" s="96">
        <v>0</v>
      </c>
      <c r="BG85" s="96">
        <v>0</v>
      </c>
      <c r="BH85" s="96">
        <v>0</v>
      </c>
      <c r="BI85" s="96">
        <v>0</v>
      </c>
      <c r="BJ85" s="96">
        <v>0</v>
      </c>
      <c r="BK85" s="96">
        <v>0</v>
      </c>
      <c r="BL85" s="96">
        <v>0</v>
      </c>
      <c r="BM85" s="96">
        <v>0</v>
      </c>
      <c r="BN85" s="96">
        <f t="shared" si="2"/>
        <v>0</v>
      </c>
      <c r="BO85" s="96">
        <v>0</v>
      </c>
      <c r="BP85" s="98" t="s">
        <v>116</v>
      </c>
      <c r="BQ85" s="90" t="s">
        <v>116</v>
      </c>
      <c r="BR85" s="87" t="s">
        <v>116</v>
      </c>
      <c r="BS85" s="87" t="s">
        <v>265</v>
      </c>
      <c r="BT85" s="87" t="s">
        <v>116</v>
      </c>
      <c r="BU85" s="222">
        <v>39</v>
      </c>
      <c r="BV85" s="223"/>
      <c r="BW85" s="100">
        <v>0</v>
      </c>
      <c r="BX85" s="224" t="s">
        <v>156</v>
      </c>
      <c r="BY85" s="225" t="s">
        <v>265</v>
      </c>
      <c r="BZ85" s="87" t="s">
        <v>116</v>
      </c>
    </row>
    <row r="86" spans="1:78" s="2" customFormat="1" ht="63" customHeight="1" outlineLevel="1" x14ac:dyDescent="0.25">
      <c r="A86" s="34">
        <v>82</v>
      </c>
      <c r="B86" s="200">
        <v>40</v>
      </c>
      <c r="C86" s="121">
        <v>247377</v>
      </c>
      <c r="D86" s="121">
        <v>1207698</v>
      </c>
      <c r="E86" s="212" t="s">
        <v>205</v>
      </c>
      <c r="F86" s="123">
        <v>46105</v>
      </c>
      <c r="G86" s="123">
        <f t="shared" si="0"/>
        <v>46104</v>
      </c>
      <c r="H86" s="121">
        <v>821314</v>
      </c>
      <c r="I86" s="121" t="s">
        <v>385</v>
      </c>
      <c r="J86" s="123">
        <v>46148</v>
      </c>
      <c r="K86" s="123">
        <v>46310</v>
      </c>
      <c r="L86" s="123">
        <v>46288</v>
      </c>
      <c r="M86" s="123">
        <f t="shared" ca="1" si="32"/>
        <v>46277</v>
      </c>
      <c r="N86" s="123" t="s">
        <v>157</v>
      </c>
      <c r="O86" s="210" t="str">
        <f t="shared" si="1"/>
        <v/>
      </c>
      <c r="P86" s="204" t="s">
        <v>268</v>
      </c>
      <c r="Q86" s="124">
        <f t="shared" ca="1" si="64"/>
        <v>173</v>
      </c>
      <c r="R86" s="211" t="s">
        <v>269</v>
      </c>
      <c r="S86" s="213" t="s">
        <v>42</v>
      </c>
      <c r="T86" s="122" t="s">
        <v>42</v>
      </c>
      <c r="U86" s="127" t="s">
        <v>206</v>
      </c>
      <c r="V86" s="120" t="s">
        <v>339</v>
      </c>
      <c r="W86" s="214" t="s">
        <v>333</v>
      </c>
      <c r="X86" s="128">
        <f>9500-233</f>
        <v>9267</v>
      </c>
      <c r="Y86" s="128">
        <v>0</v>
      </c>
      <c r="Z86" s="129">
        <f>60-40</f>
        <v>20</v>
      </c>
      <c r="AA86" s="128">
        <v>0</v>
      </c>
      <c r="AB86" s="128">
        <v>0</v>
      </c>
      <c r="AC86" s="128">
        <v>0</v>
      </c>
      <c r="AD86" s="128">
        <f>900-51</f>
        <v>849</v>
      </c>
      <c r="AE86" s="128">
        <v>0</v>
      </c>
      <c r="AF86" s="128">
        <f>200-46</f>
        <v>154</v>
      </c>
      <c r="AG86" s="128">
        <v>0</v>
      </c>
      <c r="AH86" s="128">
        <v>0</v>
      </c>
      <c r="AI86" s="128">
        <v>0</v>
      </c>
      <c r="AJ86" s="128">
        <v>40</v>
      </c>
      <c r="AK86" s="128">
        <v>0</v>
      </c>
      <c r="AL86" s="128">
        <v>1</v>
      </c>
      <c r="AM86" s="128">
        <v>0</v>
      </c>
      <c r="AN86" s="128">
        <v>1</v>
      </c>
      <c r="AO86" s="128">
        <v>0</v>
      </c>
      <c r="AP86" s="128">
        <v>40</v>
      </c>
      <c r="AQ86" s="128">
        <v>0</v>
      </c>
      <c r="AR86" s="128">
        <v>40</v>
      </c>
      <c r="AS86" s="128">
        <v>0</v>
      </c>
      <c r="AT86" s="128">
        <v>12</v>
      </c>
      <c r="AU86" s="128">
        <v>0</v>
      </c>
      <c r="AV86" s="128">
        <v>0</v>
      </c>
      <c r="AW86" s="128">
        <v>0</v>
      </c>
      <c r="AX86" s="128">
        <v>0</v>
      </c>
      <c r="AY86" s="128">
        <v>0</v>
      </c>
      <c r="AZ86" s="128">
        <v>0</v>
      </c>
      <c r="BA86" s="128">
        <v>0</v>
      </c>
      <c r="BB86" s="128">
        <v>0</v>
      </c>
      <c r="BC86" s="128">
        <v>0</v>
      </c>
      <c r="BD86" s="128">
        <v>0</v>
      </c>
      <c r="BE86" s="128">
        <v>0</v>
      </c>
      <c r="BF86" s="128">
        <v>0</v>
      </c>
      <c r="BG86" s="128">
        <v>0</v>
      </c>
      <c r="BH86" s="128">
        <v>0</v>
      </c>
      <c r="BI86" s="128">
        <v>0</v>
      </c>
      <c r="BJ86" s="128">
        <v>0</v>
      </c>
      <c r="BK86" s="128">
        <v>0</v>
      </c>
      <c r="BL86" s="128">
        <v>0</v>
      </c>
      <c r="BM86" s="128">
        <v>0</v>
      </c>
      <c r="BN86" s="128">
        <f t="shared" si="2"/>
        <v>602231</v>
      </c>
      <c r="BO86" s="128">
        <f t="shared" si="60"/>
        <v>0</v>
      </c>
      <c r="BP86" s="133" t="s">
        <v>157</v>
      </c>
      <c r="BQ86" s="122" t="s">
        <v>42</v>
      </c>
      <c r="BR86" s="120" t="s">
        <v>42</v>
      </c>
      <c r="BS86" s="120" t="s">
        <v>157</v>
      </c>
      <c r="BT86" s="120" t="s">
        <v>42</v>
      </c>
      <c r="BU86" s="215">
        <v>40</v>
      </c>
      <c r="BV86" s="216"/>
      <c r="BW86" s="131">
        <v>0</v>
      </c>
      <c r="BX86" s="217" t="s">
        <v>156</v>
      </c>
      <c r="BY86" s="218" t="s">
        <v>42</v>
      </c>
      <c r="BZ86" s="120" t="s">
        <v>157</v>
      </c>
    </row>
    <row r="87" spans="1:78" s="2" customFormat="1" ht="63" customHeight="1" outlineLevel="1" x14ac:dyDescent="0.25">
      <c r="A87" s="34">
        <v>83</v>
      </c>
      <c r="B87" s="200" t="s">
        <v>465</v>
      </c>
      <c r="C87" s="121">
        <v>247377</v>
      </c>
      <c r="D87" s="121">
        <v>1207698</v>
      </c>
      <c r="E87" s="212" t="s">
        <v>205</v>
      </c>
      <c r="F87" s="123">
        <v>46105</v>
      </c>
      <c r="G87" s="123">
        <f t="shared" ref="G87" si="98">F87-1</f>
        <v>46104</v>
      </c>
      <c r="H87" s="121">
        <v>821314</v>
      </c>
      <c r="I87" s="121" t="s">
        <v>385</v>
      </c>
      <c r="J87" s="123">
        <v>46148</v>
      </c>
      <c r="K87" s="123">
        <v>46310</v>
      </c>
      <c r="L87" s="123">
        <v>46288</v>
      </c>
      <c r="M87" s="123">
        <f t="shared" ca="1" si="32"/>
        <v>46277</v>
      </c>
      <c r="N87" s="123" t="s">
        <v>157</v>
      </c>
      <c r="O87" s="210" t="str">
        <f t="shared" ref="O87" si="99">IF(N87="Backfilling",30,IF(N87="Reinstatement",20,IF(N87="Shut Down",30,IF(N87="Returned",0,""))))</f>
        <v/>
      </c>
      <c r="P87" s="204" t="s">
        <v>268</v>
      </c>
      <c r="Q87" s="124">
        <f t="shared" ref="Q87" ca="1" si="100">M87-G87</f>
        <v>173</v>
      </c>
      <c r="R87" s="211" t="s">
        <v>269</v>
      </c>
      <c r="S87" s="213" t="s">
        <v>42</v>
      </c>
      <c r="T87" s="122" t="s">
        <v>42</v>
      </c>
      <c r="U87" s="127" t="s">
        <v>206</v>
      </c>
      <c r="V87" s="120" t="s">
        <v>339</v>
      </c>
      <c r="W87" s="214" t="s">
        <v>333</v>
      </c>
      <c r="X87" s="128">
        <v>233</v>
      </c>
      <c r="Y87" s="128">
        <v>233</v>
      </c>
      <c r="Z87" s="129">
        <v>40</v>
      </c>
      <c r="AA87" s="128">
        <v>40</v>
      </c>
      <c r="AB87" s="128"/>
      <c r="AC87" s="128"/>
      <c r="AD87" s="128">
        <v>51</v>
      </c>
      <c r="AE87" s="128">
        <v>51</v>
      </c>
      <c r="AF87" s="128">
        <v>46</v>
      </c>
      <c r="AG87" s="128">
        <v>46</v>
      </c>
      <c r="AH87" s="128">
        <f>9*5</f>
        <v>45</v>
      </c>
      <c r="AI87" s="128">
        <v>45</v>
      </c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>
        <f t="shared" si="2"/>
        <v>27219</v>
      </c>
      <c r="BO87" s="128">
        <f t="shared" si="60"/>
        <v>27219</v>
      </c>
      <c r="BP87" s="133" t="s">
        <v>3</v>
      </c>
      <c r="BQ87" s="122" t="s">
        <v>42</v>
      </c>
      <c r="BR87" s="120" t="s">
        <v>42</v>
      </c>
      <c r="BS87" s="120" t="s">
        <v>157</v>
      </c>
      <c r="BT87" s="120" t="s">
        <v>42</v>
      </c>
      <c r="BU87" s="215" t="s">
        <v>465</v>
      </c>
      <c r="BV87" s="216"/>
      <c r="BW87" s="131"/>
      <c r="BX87" s="217">
        <v>46258</v>
      </c>
      <c r="BY87" s="218" t="s">
        <v>42</v>
      </c>
      <c r="BZ87" s="120" t="s">
        <v>245</v>
      </c>
    </row>
    <row r="88" spans="1:78" s="2" customFormat="1" ht="63" customHeight="1" outlineLevel="1" x14ac:dyDescent="0.25">
      <c r="A88" s="34">
        <v>84</v>
      </c>
      <c r="B88" s="82">
        <v>41</v>
      </c>
      <c r="C88" s="78">
        <v>248162</v>
      </c>
      <c r="D88" s="78">
        <v>1213547</v>
      </c>
      <c r="E88" s="85" t="s">
        <v>213</v>
      </c>
      <c r="F88" s="36">
        <v>46118</v>
      </c>
      <c r="G88" s="36">
        <f t="shared" si="0"/>
        <v>46117</v>
      </c>
      <c r="H88" s="78">
        <v>833649</v>
      </c>
      <c r="I88" s="34" t="s">
        <v>385</v>
      </c>
      <c r="J88" s="36">
        <v>46240</v>
      </c>
      <c r="K88" s="36">
        <v>46411</v>
      </c>
      <c r="L88" s="36">
        <v>46301</v>
      </c>
      <c r="M88" s="36">
        <f t="shared" ca="1" si="32"/>
        <v>46277</v>
      </c>
      <c r="N88" s="36" t="s">
        <v>262</v>
      </c>
      <c r="O88" s="169" t="str">
        <f t="shared" si="1"/>
        <v/>
      </c>
      <c r="P88" s="207" t="s">
        <v>268</v>
      </c>
      <c r="Q88" s="66">
        <f t="shared" ca="1" si="64"/>
        <v>160</v>
      </c>
      <c r="R88" s="160" t="s">
        <v>269</v>
      </c>
      <c r="S88" s="136" t="s">
        <v>42</v>
      </c>
      <c r="T88" s="35" t="s">
        <v>42</v>
      </c>
      <c r="U88" s="38" t="s">
        <v>214</v>
      </c>
      <c r="V88" s="34" t="s">
        <v>362</v>
      </c>
      <c r="W88" s="40" t="s">
        <v>334</v>
      </c>
      <c r="X88" s="47">
        <v>550</v>
      </c>
      <c r="Y88" s="47">
        <v>0</v>
      </c>
      <c r="Z88" s="76">
        <v>10</v>
      </c>
      <c r="AA88" s="47">
        <v>0</v>
      </c>
      <c r="AB88" s="47">
        <v>0</v>
      </c>
      <c r="AC88" s="47">
        <v>0</v>
      </c>
      <c r="AD88" s="47">
        <v>100</v>
      </c>
      <c r="AE88" s="47">
        <v>0</v>
      </c>
      <c r="AF88" s="47">
        <v>200</v>
      </c>
      <c r="AG88" s="47">
        <v>0</v>
      </c>
      <c r="AH88" s="47">
        <v>1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6</v>
      </c>
      <c r="AQ88" s="47">
        <v>0</v>
      </c>
      <c r="AR88" s="47">
        <v>6</v>
      </c>
      <c r="AS88" s="47">
        <v>0</v>
      </c>
      <c r="AT88" s="47">
        <v>1</v>
      </c>
      <c r="AU88" s="47">
        <v>0</v>
      </c>
      <c r="AV88" s="47">
        <v>0</v>
      </c>
      <c r="AW88" s="47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0</v>
      </c>
      <c r="BC88" s="47">
        <v>0</v>
      </c>
      <c r="BD88" s="47">
        <v>0</v>
      </c>
      <c r="BE88" s="47">
        <v>0</v>
      </c>
      <c r="BF88" s="47">
        <v>0</v>
      </c>
      <c r="BG88" s="47">
        <v>0</v>
      </c>
      <c r="BH88" s="47">
        <v>0</v>
      </c>
      <c r="BI88" s="47">
        <v>0</v>
      </c>
      <c r="BJ88" s="47">
        <v>0</v>
      </c>
      <c r="BK88" s="47">
        <v>0</v>
      </c>
      <c r="BL88" s="47">
        <v>0</v>
      </c>
      <c r="BM88" s="47">
        <v>0</v>
      </c>
      <c r="BN88" s="47">
        <f t="shared" si="2"/>
        <v>54225</v>
      </c>
      <c r="BO88" s="47">
        <v>0</v>
      </c>
      <c r="BP88" s="39" t="s">
        <v>275</v>
      </c>
      <c r="BQ88" s="35" t="s">
        <v>42</v>
      </c>
      <c r="BR88" s="34" t="s">
        <v>42</v>
      </c>
      <c r="BS88" s="34" t="s">
        <v>157</v>
      </c>
      <c r="BT88" s="34" t="s">
        <v>42</v>
      </c>
      <c r="BU88" s="84">
        <v>41</v>
      </c>
      <c r="BV88" s="194"/>
      <c r="BW88" s="67">
        <v>0</v>
      </c>
      <c r="BX88" s="68" t="s">
        <v>156</v>
      </c>
      <c r="BY88" s="155" t="s">
        <v>42</v>
      </c>
      <c r="BZ88" s="34" t="s">
        <v>190</v>
      </c>
    </row>
    <row r="89" spans="1:78" s="2" customFormat="1" ht="63" customHeight="1" outlineLevel="1" x14ac:dyDescent="0.25">
      <c r="A89" s="34">
        <v>85</v>
      </c>
      <c r="B89" s="200">
        <v>42</v>
      </c>
      <c r="C89" s="121">
        <v>248323</v>
      </c>
      <c r="D89" s="121">
        <v>1214391</v>
      </c>
      <c r="E89" s="212" t="s">
        <v>216</v>
      </c>
      <c r="F89" s="123">
        <v>46120</v>
      </c>
      <c r="G89" s="123">
        <f t="shared" si="0"/>
        <v>46119</v>
      </c>
      <c r="H89" s="121">
        <v>824518</v>
      </c>
      <c r="I89" s="121" t="s">
        <v>385</v>
      </c>
      <c r="J89" s="123">
        <v>46149</v>
      </c>
      <c r="K89" s="123">
        <v>46324</v>
      </c>
      <c r="L89" s="123">
        <v>46303</v>
      </c>
      <c r="M89" s="123">
        <f t="shared" ca="1" si="32"/>
        <v>46277</v>
      </c>
      <c r="N89" s="123" t="s">
        <v>157</v>
      </c>
      <c r="O89" s="210" t="str">
        <f t="shared" si="1"/>
        <v/>
      </c>
      <c r="P89" s="204" t="s">
        <v>268</v>
      </c>
      <c r="Q89" s="124">
        <f t="shared" ca="1" si="64"/>
        <v>158</v>
      </c>
      <c r="R89" s="211" t="s">
        <v>269</v>
      </c>
      <c r="S89" s="213" t="s">
        <v>42</v>
      </c>
      <c r="T89" s="122" t="s">
        <v>42</v>
      </c>
      <c r="U89" s="127" t="s">
        <v>217</v>
      </c>
      <c r="V89" s="120" t="s">
        <v>363</v>
      </c>
      <c r="W89" s="214" t="s">
        <v>317</v>
      </c>
      <c r="X89" s="128">
        <v>60</v>
      </c>
      <c r="Y89" s="128">
        <v>0</v>
      </c>
      <c r="Z89" s="129">
        <v>0</v>
      </c>
      <c r="AA89" s="128">
        <v>0</v>
      </c>
      <c r="AB89" s="128">
        <v>1</v>
      </c>
      <c r="AC89" s="128">
        <v>0</v>
      </c>
      <c r="AD89" s="128">
        <v>1</v>
      </c>
      <c r="AE89" s="128">
        <v>0</v>
      </c>
      <c r="AF89" s="128">
        <v>0</v>
      </c>
      <c r="AG89" s="128">
        <v>0</v>
      </c>
      <c r="AH89" s="128">
        <v>1</v>
      </c>
      <c r="AI89" s="128">
        <v>0</v>
      </c>
      <c r="AJ89" s="128">
        <v>0</v>
      </c>
      <c r="AK89" s="128">
        <v>0</v>
      </c>
      <c r="AL89" s="128">
        <v>0</v>
      </c>
      <c r="AM89" s="128">
        <v>0</v>
      </c>
      <c r="AN89" s="128">
        <v>0</v>
      </c>
      <c r="AO89" s="128">
        <v>0</v>
      </c>
      <c r="AP89" s="128">
        <f>40-4</f>
        <v>36</v>
      </c>
      <c r="AQ89" s="128">
        <v>0</v>
      </c>
      <c r="AR89" s="128">
        <f>20-1</f>
        <v>19</v>
      </c>
      <c r="AS89" s="128">
        <v>0</v>
      </c>
      <c r="AT89" s="128">
        <v>10</v>
      </c>
      <c r="AU89" s="128">
        <v>0</v>
      </c>
      <c r="AV89" s="128">
        <v>0</v>
      </c>
      <c r="AW89" s="128">
        <v>0</v>
      </c>
      <c r="AX89" s="128">
        <v>0</v>
      </c>
      <c r="AY89" s="128">
        <v>0</v>
      </c>
      <c r="AZ89" s="128">
        <v>0</v>
      </c>
      <c r="BA89" s="128">
        <v>0</v>
      </c>
      <c r="BB89" s="128">
        <v>0</v>
      </c>
      <c r="BC89" s="128">
        <v>0</v>
      </c>
      <c r="BD89" s="128">
        <v>0</v>
      </c>
      <c r="BE89" s="128">
        <v>0</v>
      </c>
      <c r="BF89" s="128">
        <v>0</v>
      </c>
      <c r="BG89" s="128">
        <v>0</v>
      </c>
      <c r="BH89" s="128">
        <v>0</v>
      </c>
      <c r="BI89" s="128">
        <v>0</v>
      </c>
      <c r="BJ89" s="128">
        <v>0</v>
      </c>
      <c r="BK89" s="128">
        <v>0</v>
      </c>
      <c r="BL89" s="128">
        <v>0</v>
      </c>
      <c r="BM89" s="128">
        <v>0</v>
      </c>
      <c r="BN89" s="128">
        <f t="shared" si="2"/>
        <v>35235</v>
      </c>
      <c r="BO89" s="128">
        <v>0</v>
      </c>
      <c r="BP89" s="133" t="s">
        <v>157</v>
      </c>
      <c r="BQ89" s="122" t="s">
        <v>42</v>
      </c>
      <c r="BR89" s="120" t="s">
        <v>42</v>
      </c>
      <c r="BS89" s="120" t="s">
        <v>157</v>
      </c>
      <c r="BT89" s="120" t="s">
        <v>42</v>
      </c>
      <c r="BU89" s="215">
        <v>42</v>
      </c>
      <c r="BV89" s="216"/>
      <c r="BW89" s="131">
        <v>0</v>
      </c>
      <c r="BX89" s="217" t="s">
        <v>156</v>
      </c>
      <c r="BY89" s="218" t="s">
        <v>42</v>
      </c>
      <c r="BZ89" s="120" t="s">
        <v>190</v>
      </c>
    </row>
    <row r="90" spans="1:78" s="2" customFormat="1" ht="63" customHeight="1" outlineLevel="1" x14ac:dyDescent="0.25">
      <c r="A90" s="34">
        <v>86</v>
      </c>
      <c r="B90" s="200" t="s">
        <v>460</v>
      </c>
      <c r="C90" s="121">
        <v>248323</v>
      </c>
      <c r="D90" s="121">
        <v>1214391</v>
      </c>
      <c r="E90" s="212" t="s">
        <v>216</v>
      </c>
      <c r="F90" s="123">
        <v>46120</v>
      </c>
      <c r="G90" s="123">
        <f t="shared" ref="G90" si="101">F90-1</f>
        <v>46119</v>
      </c>
      <c r="H90" s="121">
        <v>824518</v>
      </c>
      <c r="I90" s="121" t="s">
        <v>385</v>
      </c>
      <c r="J90" s="123">
        <v>46149</v>
      </c>
      <c r="K90" s="123">
        <v>46324</v>
      </c>
      <c r="L90" s="123">
        <v>46303</v>
      </c>
      <c r="M90" s="123">
        <f t="shared" ca="1" si="32"/>
        <v>46277</v>
      </c>
      <c r="N90" s="123" t="s">
        <v>157</v>
      </c>
      <c r="O90" s="210" t="str">
        <f t="shared" ref="O90" si="102">IF(N90="Backfilling",30,IF(N90="Reinstatement",20,IF(N90="Shut Down",30,IF(N90="Returned",0,""))))</f>
        <v/>
      </c>
      <c r="P90" s="204" t="s">
        <v>268</v>
      </c>
      <c r="Q90" s="124">
        <f t="shared" ref="Q90" ca="1" si="103">M90-G90</f>
        <v>158</v>
      </c>
      <c r="R90" s="211" t="s">
        <v>269</v>
      </c>
      <c r="S90" s="213" t="s">
        <v>42</v>
      </c>
      <c r="T90" s="122" t="s">
        <v>42</v>
      </c>
      <c r="U90" s="127" t="s">
        <v>217</v>
      </c>
      <c r="V90" s="120" t="s">
        <v>363</v>
      </c>
      <c r="W90" s="214" t="s">
        <v>317</v>
      </c>
      <c r="X90" s="128">
        <v>1160</v>
      </c>
      <c r="Y90" s="128">
        <v>1160</v>
      </c>
      <c r="Z90" s="129">
        <f>27.75*6</f>
        <v>166.5</v>
      </c>
      <c r="AA90" s="128">
        <f>27.75*6</f>
        <v>166.5</v>
      </c>
      <c r="AB90" s="128">
        <v>0</v>
      </c>
      <c r="AC90" s="128">
        <v>0</v>
      </c>
      <c r="AD90" s="128">
        <v>0</v>
      </c>
      <c r="AE90" s="128">
        <v>0</v>
      </c>
      <c r="AF90" s="128">
        <v>0</v>
      </c>
      <c r="AG90" s="128">
        <v>0</v>
      </c>
      <c r="AH90" s="128">
        <v>0</v>
      </c>
      <c r="AI90" s="128">
        <v>0</v>
      </c>
      <c r="AJ90" s="128">
        <v>0</v>
      </c>
      <c r="AK90" s="128">
        <v>0</v>
      </c>
      <c r="AL90" s="128">
        <v>0</v>
      </c>
      <c r="AM90" s="128">
        <v>0</v>
      </c>
      <c r="AN90" s="128">
        <v>0</v>
      </c>
      <c r="AO90" s="128">
        <v>0</v>
      </c>
      <c r="AP90" s="128">
        <v>4</v>
      </c>
      <c r="AQ90" s="128">
        <v>4</v>
      </c>
      <c r="AR90" s="128">
        <v>1</v>
      </c>
      <c r="AS90" s="128">
        <v>1</v>
      </c>
      <c r="AT90" s="128">
        <v>0</v>
      </c>
      <c r="AU90" s="128">
        <v>0</v>
      </c>
      <c r="AV90" s="128">
        <v>0</v>
      </c>
      <c r="AW90" s="128">
        <v>0</v>
      </c>
      <c r="AX90" s="128">
        <v>0</v>
      </c>
      <c r="AY90" s="128">
        <v>0</v>
      </c>
      <c r="AZ90" s="128">
        <v>0</v>
      </c>
      <c r="BA90" s="128">
        <v>0</v>
      </c>
      <c r="BB90" s="128">
        <v>0</v>
      </c>
      <c r="BC90" s="128">
        <v>0</v>
      </c>
      <c r="BD90" s="128">
        <v>0</v>
      </c>
      <c r="BE90" s="128">
        <v>0</v>
      </c>
      <c r="BF90" s="128">
        <v>0</v>
      </c>
      <c r="BG90" s="128">
        <v>0</v>
      </c>
      <c r="BH90" s="128">
        <v>0</v>
      </c>
      <c r="BI90" s="128">
        <v>0</v>
      </c>
      <c r="BJ90" s="128">
        <v>0</v>
      </c>
      <c r="BK90" s="128">
        <v>0</v>
      </c>
      <c r="BL90" s="128">
        <v>0</v>
      </c>
      <c r="BM90" s="128">
        <v>0</v>
      </c>
      <c r="BN90" s="128">
        <f t="shared" si="2"/>
        <v>77105.5</v>
      </c>
      <c r="BO90" s="128">
        <f t="shared" si="2"/>
        <v>77105.5</v>
      </c>
      <c r="BP90" s="133" t="s">
        <v>3</v>
      </c>
      <c r="BQ90" s="122" t="s">
        <v>42</v>
      </c>
      <c r="BR90" s="120" t="s">
        <v>42</v>
      </c>
      <c r="BS90" s="120" t="s">
        <v>157</v>
      </c>
      <c r="BT90" s="120" t="s">
        <v>42</v>
      </c>
      <c r="BU90" s="215" t="s">
        <v>460</v>
      </c>
      <c r="BV90" s="216"/>
      <c r="BW90" s="131"/>
      <c r="BX90" s="132">
        <v>46250</v>
      </c>
      <c r="BY90" s="218" t="s">
        <v>42</v>
      </c>
      <c r="BZ90" s="120" t="s">
        <v>245</v>
      </c>
    </row>
    <row r="91" spans="1:78" s="2" customFormat="1" ht="63" customHeight="1" outlineLevel="1" x14ac:dyDescent="0.25">
      <c r="A91" s="34">
        <v>87</v>
      </c>
      <c r="B91" s="82">
        <v>43</v>
      </c>
      <c r="C91" s="78">
        <v>248346</v>
      </c>
      <c r="D91" s="78">
        <v>1214450</v>
      </c>
      <c r="E91" s="85" t="s">
        <v>218</v>
      </c>
      <c r="F91" s="36">
        <v>46120</v>
      </c>
      <c r="G91" s="36">
        <f t="shared" ref="G91:G93" si="104">F91-1</f>
        <v>46119</v>
      </c>
      <c r="H91" s="78" t="s">
        <v>42</v>
      </c>
      <c r="I91" s="78" t="s">
        <v>276</v>
      </c>
      <c r="J91" s="36" t="s">
        <v>42</v>
      </c>
      <c r="K91" s="36" t="s">
        <v>42</v>
      </c>
      <c r="L91" s="36">
        <v>46303</v>
      </c>
      <c r="M91" s="36">
        <f t="shared" ca="1" si="32"/>
        <v>46277</v>
      </c>
      <c r="N91" s="36" t="s">
        <v>262</v>
      </c>
      <c r="O91" s="169" t="str">
        <f t="shared" si="1"/>
        <v/>
      </c>
      <c r="P91" s="207" t="s">
        <v>268</v>
      </c>
      <c r="Q91" s="66">
        <f t="shared" ca="1" si="64"/>
        <v>158</v>
      </c>
      <c r="R91" s="160" t="s">
        <v>269</v>
      </c>
      <c r="S91" s="136" t="s">
        <v>42</v>
      </c>
      <c r="T91" s="35" t="s">
        <v>42</v>
      </c>
      <c r="U91" s="38" t="s">
        <v>219</v>
      </c>
      <c r="V91" s="34" t="s">
        <v>338</v>
      </c>
      <c r="W91" s="40" t="s">
        <v>335</v>
      </c>
      <c r="X91" s="47">
        <v>2800</v>
      </c>
      <c r="Y91" s="47">
        <v>0</v>
      </c>
      <c r="Z91" s="76">
        <v>30</v>
      </c>
      <c r="AA91" s="47">
        <v>0</v>
      </c>
      <c r="AB91" s="47">
        <v>0</v>
      </c>
      <c r="AC91" s="47">
        <v>0</v>
      </c>
      <c r="AD91" s="47">
        <v>1</v>
      </c>
      <c r="AE91" s="47">
        <v>0</v>
      </c>
      <c r="AF91" s="47">
        <v>2000</v>
      </c>
      <c r="AG91" s="47">
        <v>0</v>
      </c>
      <c r="AH91" s="47">
        <v>1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16</v>
      </c>
      <c r="AQ91" s="47">
        <v>0</v>
      </c>
      <c r="AR91" s="47">
        <v>8</v>
      </c>
      <c r="AS91" s="47">
        <v>0</v>
      </c>
      <c r="AT91" s="47">
        <v>2</v>
      </c>
      <c r="AU91" s="47">
        <v>0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f t="shared" si="2"/>
        <v>313600</v>
      </c>
      <c r="BO91" s="47">
        <v>0</v>
      </c>
      <c r="BP91" s="39" t="s">
        <v>275</v>
      </c>
      <c r="BQ91" s="35" t="s">
        <v>42</v>
      </c>
      <c r="BR91" s="34" t="s">
        <v>42</v>
      </c>
      <c r="BS91" s="34" t="s">
        <v>157</v>
      </c>
      <c r="BT91" s="34" t="s">
        <v>42</v>
      </c>
      <c r="BU91" s="84">
        <v>43</v>
      </c>
      <c r="BV91" s="194"/>
      <c r="BW91" s="67">
        <v>0</v>
      </c>
      <c r="BX91" s="68" t="s">
        <v>156</v>
      </c>
      <c r="BY91" s="155" t="s">
        <v>42</v>
      </c>
      <c r="BZ91" s="34" t="s">
        <v>190</v>
      </c>
    </row>
    <row r="92" spans="1:78" s="2" customFormat="1" ht="63" customHeight="1" outlineLevel="1" x14ac:dyDescent="0.25">
      <c r="A92" s="34">
        <v>88</v>
      </c>
      <c r="B92" s="82">
        <v>44</v>
      </c>
      <c r="C92" s="78">
        <v>248819</v>
      </c>
      <c r="D92" s="78">
        <v>1217372</v>
      </c>
      <c r="E92" s="85" t="s">
        <v>252</v>
      </c>
      <c r="F92" s="36">
        <v>46127</v>
      </c>
      <c r="G92" s="36">
        <f t="shared" si="104"/>
        <v>46126</v>
      </c>
      <c r="H92" s="78" t="s">
        <v>409</v>
      </c>
      <c r="I92" s="78" t="s">
        <v>266</v>
      </c>
      <c r="J92" s="36" t="s">
        <v>161</v>
      </c>
      <c r="K92" s="36" t="s">
        <v>161</v>
      </c>
      <c r="L92" s="36">
        <v>46310</v>
      </c>
      <c r="M92" s="36">
        <f t="shared" ca="1" si="32"/>
        <v>46277</v>
      </c>
      <c r="N92" s="36" t="s">
        <v>262</v>
      </c>
      <c r="O92" s="169" t="str">
        <f t="shared" si="1"/>
        <v/>
      </c>
      <c r="P92" s="207" t="s">
        <v>268</v>
      </c>
      <c r="Q92" s="66">
        <f t="shared" ca="1" si="64"/>
        <v>151</v>
      </c>
      <c r="R92" s="160" t="s">
        <v>269</v>
      </c>
      <c r="S92" s="136" t="s">
        <v>42</v>
      </c>
      <c r="T92" s="35" t="s">
        <v>42</v>
      </c>
      <c r="U92" s="38" t="s">
        <v>253</v>
      </c>
      <c r="V92" s="34" t="s">
        <v>337</v>
      </c>
      <c r="W92" s="40" t="s">
        <v>336</v>
      </c>
      <c r="X92" s="47">
        <v>550</v>
      </c>
      <c r="Y92" s="47">
        <v>0</v>
      </c>
      <c r="Z92" s="76">
        <v>0</v>
      </c>
      <c r="AA92" s="47">
        <v>0</v>
      </c>
      <c r="AB92" s="47">
        <v>1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2</v>
      </c>
      <c r="AQ92" s="47">
        <v>0</v>
      </c>
      <c r="AR92" s="47">
        <v>1</v>
      </c>
      <c r="AS92" s="47">
        <v>0</v>
      </c>
      <c r="AT92" s="47">
        <v>1</v>
      </c>
      <c r="AU92" s="47">
        <v>0</v>
      </c>
      <c r="AV92" s="47">
        <v>0</v>
      </c>
      <c r="AW92" s="47">
        <v>0</v>
      </c>
      <c r="AX92" s="47">
        <v>0</v>
      </c>
      <c r="AY92" s="47">
        <v>0</v>
      </c>
      <c r="AZ92" s="47">
        <v>0</v>
      </c>
      <c r="BA92" s="47">
        <v>0</v>
      </c>
      <c r="BB92" s="47">
        <v>0</v>
      </c>
      <c r="BC92" s="47">
        <v>0</v>
      </c>
      <c r="BD92" s="47">
        <v>0</v>
      </c>
      <c r="BE92" s="47">
        <v>0</v>
      </c>
      <c r="BF92" s="47">
        <v>0</v>
      </c>
      <c r="BG92" s="47">
        <v>0</v>
      </c>
      <c r="BH92" s="47">
        <v>0</v>
      </c>
      <c r="BI92" s="47">
        <v>0</v>
      </c>
      <c r="BJ92" s="47">
        <v>0</v>
      </c>
      <c r="BK92" s="47">
        <v>0</v>
      </c>
      <c r="BL92" s="47">
        <v>0</v>
      </c>
      <c r="BM92" s="47">
        <v>0</v>
      </c>
      <c r="BN92" s="47">
        <f t="shared" si="2"/>
        <v>31200</v>
      </c>
      <c r="BO92" s="47">
        <v>0</v>
      </c>
      <c r="BP92" s="39" t="s">
        <v>275</v>
      </c>
      <c r="BQ92" s="35" t="s">
        <v>42</v>
      </c>
      <c r="BR92" s="34" t="s">
        <v>42</v>
      </c>
      <c r="BS92" s="34" t="s">
        <v>157</v>
      </c>
      <c r="BT92" s="34" t="s">
        <v>42</v>
      </c>
      <c r="BU92" s="84">
        <v>44</v>
      </c>
      <c r="BV92" s="194"/>
      <c r="BW92" s="67">
        <v>0</v>
      </c>
      <c r="BX92" s="68" t="s">
        <v>156</v>
      </c>
      <c r="BY92" s="155" t="s">
        <v>42</v>
      </c>
      <c r="BZ92" s="34" t="s">
        <v>190</v>
      </c>
    </row>
    <row r="93" spans="1:78" s="2" customFormat="1" ht="63" customHeight="1" outlineLevel="1" x14ac:dyDescent="0.25">
      <c r="A93" s="34">
        <v>89</v>
      </c>
      <c r="B93" s="82">
        <v>45</v>
      </c>
      <c r="C93" s="78">
        <v>249704</v>
      </c>
      <c r="D93" s="78">
        <v>1224023</v>
      </c>
      <c r="E93" s="85" t="s">
        <v>393</v>
      </c>
      <c r="F93" s="36">
        <v>46146</v>
      </c>
      <c r="G93" s="36">
        <f t="shared" si="104"/>
        <v>46145</v>
      </c>
      <c r="H93" s="78">
        <v>827270</v>
      </c>
      <c r="I93" s="78" t="s">
        <v>385</v>
      </c>
      <c r="J93" s="36">
        <v>46182</v>
      </c>
      <c r="K93" s="36">
        <v>46342</v>
      </c>
      <c r="L93" s="36">
        <v>46330</v>
      </c>
      <c r="M93" s="36">
        <f t="shared" ca="1" si="32"/>
        <v>46277</v>
      </c>
      <c r="N93" s="36" t="s">
        <v>262</v>
      </c>
      <c r="O93" s="169" t="str">
        <f t="shared" ref="O93:O96" si="105">IF(N93="Backfilling",30,IF(N93="Reinstatement",20,IF(N93="Shut Down",30,IF(N93="Returned",0,""))))</f>
        <v/>
      </c>
      <c r="P93" s="207" t="s">
        <v>268</v>
      </c>
      <c r="Q93" s="66">
        <f t="shared" ca="1" si="64"/>
        <v>132</v>
      </c>
      <c r="R93" s="160" t="s">
        <v>269</v>
      </c>
      <c r="S93" s="136" t="s">
        <v>42</v>
      </c>
      <c r="T93" s="35" t="s">
        <v>42</v>
      </c>
      <c r="U93" s="38" t="s">
        <v>394</v>
      </c>
      <c r="V93" s="34" t="s">
        <v>357</v>
      </c>
      <c r="W93" s="40" t="s">
        <v>312</v>
      </c>
      <c r="X93" s="47">
        <v>1600</v>
      </c>
      <c r="Y93" s="47">
        <v>0</v>
      </c>
      <c r="Z93" s="76">
        <v>1</v>
      </c>
      <c r="AA93" s="47">
        <v>0</v>
      </c>
      <c r="AB93" s="47">
        <v>0</v>
      </c>
      <c r="AC93" s="47">
        <v>0</v>
      </c>
      <c r="AD93" s="47">
        <v>500</v>
      </c>
      <c r="AE93" s="47">
        <v>0</v>
      </c>
      <c r="AF93" s="47">
        <v>500</v>
      </c>
      <c r="AG93" s="47">
        <v>0</v>
      </c>
      <c r="AH93" s="47">
        <v>1</v>
      </c>
      <c r="AI93" s="47">
        <v>0</v>
      </c>
      <c r="AJ93" s="47">
        <v>90</v>
      </c>
      <c r="AK93" s="47">
        <v>0</v>
      </c>
      <c r="AL93" s="47">
        <v>2</v>
      </c>
      <c r="AM93" s="47">
        <v>0</v>
      </c>
      <c r="AN93" s="47">
        <v>2</v>
      </c>
      <c r="AO93" s="47">
        <v>0</v>
      </c>
      <c r="AP93" s="47">
        <v>10</v>
      </c>
      <c r="AQ93" s="47">
        <v>0</v>
      </c>
      <c r="AR93" s="47">
        <v>10</v>
      </c>
      <c r="AS93" s="47">
        <v>0</v>
      </c>
      <c r="AT93" s="47">
        <v>3</v>
      </c>
      <c r="AU93" s="47">
        <v>0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f t="shared" si="2"/>
        <v>211352</v>
      </c>
      <c r="BO93" s="47">
        <v>0</v>
      </c>
      <c r="BP93" s="39" t="s">
        <v>275</v>
      </c>
      <c r="BQ93" s="35" t="s">
        <v>42</v>
      </c>
      <c r="BR93" s="34" t="s">
        <v>42</v>
      </c>
      <c r="BS93" s="34" t="s">
        <v>157</v>
      </c>
      <c r="BT93" s="34" t="s">
        <v>42</v>
      </c>
      <c r="BU93" s="84">
        <v>45</v>
      </c>
      <c r="BV93" s="194"/>
      <c r="BW93" s="67">
        <v>0</v>
      </c>
      <c r="BX93" s="68" t="s">
        <v>156</v>
      </c>
      <c r="BY93" s="155" t="s">
        <v>42</v>
      </c>
      <c r="BZ93" s="34" t="s">
        <v>190</v>
      </c>
    </row>
    <row r="94" spans="1:78" s="2" customFormat="1" ht="63" customHeight="1" outlineLevel="1" x14ac:dyDescent="0.25">
      <c r="A94" s="34">
        <v>90</v>
      </c>
      <c r="B94" s="82">
        <v>46</v>
      </c>
      <c r="C94" s="78">
        <v>250227</v>
      </c>
      <c r="D94" s="78">
        <v>1227987</v>
      </c>
      <c r="E94" s="85" t="s">
        <v>401</v>
      </c>
      <c r="F94" s="36">
        <v>46155</v>
      </c>
      <c r="G94" s="36">
        <v>46156</v>
      </c>
      <c r="H94" s="78" t="s">
        <v>409</v>
      </c>
      <c r="I94" s="78" t="s">
        <v>266</v>
      </c>
      <c r="J94" s="36" t="s">
        <v>161</v>
      </c>
      <c r="K94" s="36" t="s">
        <v>161</v>
      </c>
      <c r="L94" s="36">
        <v>46340</v>
      </c>
      <c r="M94" s="36">
        <f t="shared" ref="M94:M105" ca="1" si="106">TODAY()</f>
        <v>46277</v>
      </c>
      <c r="N94" s="36" t="s">
        <v>262</v>
      </c>
      <c r="O94" s="169" t="str">
        <f t="shared" si="105"/>
        <v/>
      </c>
      <c r="P94" s="207" t="s">
        <v>268</v>
      </c>
      <c r="Q94" s="66">
        <f t="shared" ca="1" si="64"/>
        <v>121</v>
      </c>
      <c r="R94" s="160" t="s">
        <v>264</v>
      </c>
      <c r="S94" s="136" t="s">
        <v>42</v>
      </c>
      <c r="T94" s="35" t="s">
        <v>42</v>
      </c>
      <c r="U94" s="38" t="s">
        <v>403</v>
      </c>
      <c r="V94" s="34" t="s">
        <v>408</v>
      </c>
      <c r="W94" s="40" t="s">
        <v>405</v>
      </c>
      <c r="X94" s="47">
        <v>60</v>
      </c>
      <c r="Y94" s="47">
        <v>0</v>
      </c>
      <c r="Z94" s="76">
        <v>1</v>
      </c>
      <c r="AA94" s="47">
        <v>0</v>
      </c>
      <c r="AB94" s="47">
        <v>1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7">
        <v>1</v>
      </c>
      <c r="AI94" s="47">
        <v>0</v>
      </c>
      <c r="AJ94" s="47">
        <v>0</v>
      </c>
      <c r="AK94" s="47">
        <v>0</v>
      </c>
      <c r="AL94" s="47">
        <v>0</v>
      </c>
      <c r="AM94" s="47">
        <v>0</v>
      </c>
      <c r="AN94" s="47">
        <v>0</v>
      </c>
      <c r="AO94" s="47">
        <v>0</v>
      </c>
      <c r="AP94" s="47">
        <v>0</v>
      </c>
      <c r="AQ94" s="47">
        <v>0</v>
      </c>
      <c r="AR94" s="47">
        <v>0</v>
      </c>
      <c r="AS94" s="47">
        <v>0</v>
      </c>
      <c r="AT94" s="47">
        <v>1</v>
      </c>
      <c r="AU94" s="47">
        <v>0</v>
      </c>
      <c r="AV94" s="47">
        <v>0</v>
      </c>
      <c r="AW94" s="47">
        <v>0</v>
      </c>
      <c r="AX94" s="47">
        <v>0</v>
      </c>
      <c r="AY94" s="47">
        <v>0</v>
      </c>
      <c r="AZ94" s="47">
        <v>0</v>
      </c>
      <c r="BA94" s="47">
        <v>0</v>
      </c>
      <c r="BB94" s="47">
        <v>0</v>
      </c>
      <c r="BC94" s="47">
        <v>0</v>
      </c>
      <c r="BD94" s="47">
        <v>0</v>
      </c>
      <c r="BE94" s="47">
        <v>0</v>
      </c>
      <c r="BF94" s="47">
        <v>0</v>
      </c>
      <c r="BG94" s="47">
        <v>0</v>
      </c>
      <c r="BH94" s="47">
        <v>0</v>
      </c>
      <c r="BI94" s="47">
        <v>0</v>
      </c>
      <c r="BJ94" s="47">
        <v>0</v>
      </c>
      <c r="BK94" s="47">
        <v>0</v>
      </c>
      <c r="BL94" s="47">
        <v>0</v>
      </c>
      <c r="BM94" s="47">
        <v>0</v>
      </c>
      <c r="BN94" s="47">
        <f t="shared" si="2"/>
        <v>4002</v>
      </c>
      <c r="BO94" s="47">
        <v>0</v>
      </c>
      <c r="BP94" s="39" t="s">
        <v>275</v>
      </c>
      <c r="BQ94" s="35" t="s">
        <v>42</v>
      </c>
      <c r="BR94" s="34" t="s">
        <v>42</v>
      </c>
      <c r="BS94" s="34" t="s">
        <v>157</v>
      </c>
      <c r="BT94" s="34" t="s">
        <v>42</v>
      </c>
      <c r="BU94" s="84">
        <v>46</v>
      </c>
      <c r="BV94" s="194"/>
      <c r="BW94" s="67">
        <v>0</v>
      </c>
      <c r="BX94" s="68" t="s">
        <v>156</v>
      </c>
      <c r="BY94" s="155" t="s">
        <v>42</v>
      </c>
      <c r="BZ94" s="34" t="s">
        <v>190</v>
      </c>
    </row>
    <row r="95" spans="1:78" s="2" customFormat="1" ht="63" customHeight="1" outlineLevel="1" x14ac:dyDescent="0.25">
      <c r="A95" s="34">
        <v>91</v>
      </c>
      <c r="B95" s="200">
        <v>47</v>
      </c>
      <c r="C95" s="121">
        <v>250231</v>
      </c>
      <c r="D95" s="121">
        <v>1228008</v>
      </c>
      <c r="E95" s="212" t="s">
        <v>402</v>
      </c>
      <c r="F95" s="123">
        <v>46155</v>
      </c>
      <c r="G95" s="123">
        <v>46156</v>
      </c>
      <c r="H95" s="121">
        <v>828215</v>
      </c>
      <c r="I95" s="121" t="s">
        <v>385</v>
      </c>
      <c r="J95" s="123">
        <v>46194</v>
      </c>
      <c r="K95" s="123">
        <v>46352</v>
      </c>
      <c r="L95" s="123">
        <v>46340</v>
      </c>
      <c r="M95" s="123">
        <f t="shared" ca="1" si="106"/>
        <v>46277</v>
      </c>
      <c r="N95" s="123" t="s">
        <v>157</v>
      </c>
      <c r="O95" s="210" t="str">
        <f t="shared" si="105"/>
        <v/>
      </c>
      <c r="P95" s="204" t="s">
        <v>263</v>
      </c>
      <c r="Q95" s="124">
        <f t="shared" ca="1" si="64"/>
        <v>121</v>
      </c>
      <c r="R95" s="211" t="s">
        <v>269</v>
      </c>
      <c r="S95" s="213" t="s">
        <v>42</v>
      </c>
      <c r="T95" s="122" t="s">
        <v>42</v>
      </c>
      <c r="U95" s="127" t="s">
        <v>404</v>
      </c>
      <c r="V95" s="120" t="s">
        <v>341</v>
      </c>
      <c r="W95" s="214" t="s">
        <v>324</v>
      </c>
      <c r="X95" s="128">
        <v>4000</v>
      </c>
      <c r="Y95" s="128">
        <v>0</v>
      </c>
      <c r="Z95" s="129">
        <v>20</v>
      </c>
      <c r="AA95" s="128">
        <v>0</v>
      </c>
      <c r="AB95" s="128">
        <v>1</v>
      </c>
      <c r="AC95" s="128">
        <v>0</v>
      </c>
      <c r="AD95" s="128">
        <v>1</v>
      </c>
      <c r="AE95" s="128">
        <v>0</v>
      </c>
      <c r="AF95" s="128">
        <v>1</v>
      </c>
      <c r="AG95" s="128">
        <v>0</v>
      </c>
      <c r="AH95" s="128">
        <v>1</v>
      </c>
      <c r="AI95" s="128">
        <v>0</v>
      </c>
      <c r="AJ95" s="128">
        <v>285</v>
      </c>
      <c r="AK95" s="128">
        <v>0</v>
      </c>
      <c r="AL95" s="128">
        <v>0</v>
      </c>
      <c r="AM95" s="128">
        <v>0</v>
      </c>
      <c r="AN95" s="128">
        <v>0</v>
      </c>
      <c r="AO95" s="128">
        <v>0</v>
      </c>
      <c r="AP95" s="128">
        <v>20</v>
      </c>
      <c r="AQ95" s="128">
        <v>0</v>
      </c>
      <c r="AR95" s="128">
        <v>15</v>
      </c>
      <c r="AS95" s="128">
        <v>0</v>
      </c>
      <c r="AT95" s="128">
        <v>6</v>
      </c>
      <c r="AU95" s="128">
        <v>0</v>
      </c>
      <c r="AV95" s="128">
        <v>0</v>
      </c>
      <c r="AW95" s="128">
        <v>0</v>
      </c>
      <c r="AX95" s="128">
        <v>0</v>
      </c>
      <c r="AY95" s="128">
        <v>0</v>
      </c>
      <c r="AZ95" s="128">
        <v>0</v>
      </c>
      <c r="BA95" s="128">
        <v>0</v>
      </c>
      <c r="BB95" s="128">
        <v>0</v>
      </c>
      <c r="BC95" s="128">
        <v>0</v>
      </c>
      <c r="BD95" s="128">
        <v>0</v>
      </c>
      <c r="BE95" s="128">
        <v>0</v>
      </c>
      <c r="BF95" s="128">
        <v>0</v>
      </c>
      <c r="BG95" s="128">
        <v>0</v>
      </c>
      <c r="BH95" s="128">
        <v>0</v>
      </c>
      <c r="BI95" s="128">
        <v>0</v>
      </c>
      <c r="BJ95" s="128">
        <v>0</v>
      </c>
      <c r="BK95" s="128">
        <v>0</v>
      </c>
      <c r="BL95" s="128">
        <v>0</v>
      </c>
      <c r="BM95" s="128">
        <v>0</v>
      </c>
      <c r="BN95" s="128">
        <f t="shared" si="2"/>
        <v>414550</v>
      </c>
      <c r="BO95" s="128">
        <v>0</v>
      </c>
      <c r="BP95" s="133" t="s">
        <v>157</v>
      </c>
      <c r="BQ95" s="122" t="s">
        <v>42</v>
      </c>
      <c r="BR95" s="120" t="s">
        <v>42</v>
      </c>
      <c r="BS95" s="120" t="s">
        <v>157</v>
      </c>
      <c r="BT95" s="120" t="s">
        <v>42</v>
      </c>
      <c r="BU95" s="215">
        <v>47</v>
      </c>
      <c r="BV95" s="216"/>
      <c r="BW95" s="131">
        <v>0</v>
      </c>
      <c r="BX95" s="132" t="s">
        <v>156</v>
      </c>
      <c r="BY95" s="218" t="s">
        <v>42</v>
      </c>
      <c r="BZ95" s="120" t="s">
        <v>157</v>
      </c>
    </row>
    <row r="96" spans="1:78" s="2" customFormat="1" ht="63" customHeight="1" outlineLevel="1" x14ac:dyDescent="0.25">
      <c r="A96" s="34">
        <v>92</v>
      </c>
      <c r="B96" s="105" t="s">
        <v>428</v>
      </c>
      <c r="C96" s="106">
        <v>250631</v>
      </c>
      <c r="D96" s="106">
        <v>1230807</v>
      </c>
      <c r="E96" s="107" t="s">
        <v>412</v>
      </c>
      <c r="F96" s="108">
        <v>46165</v>
      </c>
      <c r="G96" s="108">
        <v>46166</v>
      </c>
      <c r="H96" s="106" t="s">
        <v>42</v>
      </c>
      <c r="I96" s="106" t="s">
        <v>385</v>
      </c>
      <c r="J96" s="108">
        <v>46180</v>
      </c>
      <c r="K96" s="108">
        <v>46352</v>
      </c>
      <c r="L96" s="108">
        <v>46350</v>
      </c>
      <c r="M96" s="108">
        <v>46212</v>
      </c>
      <c r="N96" s="108" t="s">
        <v>240</v>
      </c>
      <c r="O96" s="187">
        <f t="shared" si="105"/>
        <v>30</v>
      </c>
      <c r="P96" s="206" t="s">
        <v>280</v>
      </c>
      <c r="Q96" s="109">
        <f t="shared" ref="Q96" si="107">M96-G96</f>
        <v>46</v>
      </c>
      <c r="R96" s="159" t="s">
        <v>273</v>
      </c>
      <c r="S96" s="119" t="s">
        <v>3</v>
      </c>
      <c r="T96" s="111" t="s">
        <v>261</v>
      </c>
      <c r="U96" s="112" t="s">
        <v>413</v>
      </c>
      <c r="V96" s="104" t="s">
        <v>414</v>
      </c>
      <c r="W96" s="163" t="s">
        <v>312</v>
      </c>
      <c r="X96" s="113">
        <v>474</v>
      </c>
      <c r="Y96" s="113">
        <v>474</v>
      </c>
      <c r="Z96" s="114"/>
      <c r="AA96" s="113">
        <v>0</v>
      </c>
      <c r="AB96" s="113">
        <v>0</v>
      </c>
      <c r="AC96" s="113">
        <v>0</v>
      </c>
      <c r="AD96" s="113">
        <f>474</f>
        <v>474</v>
      </c>
      <c r="AE96" s="113">
        <v>474</v>
      </c>
      <c r="AF96" s="113"/>
      <c r="AG96" s="113">
        <v>0</v>
      </c>
      <c r="AH96" s="113">
        <v>0</v>
      </c>
      <c r="AI96" s="113">
        <v>0</v>
      </c>
      <c r="AJ96" s="113">
        <v>0</v>
      </c>
      <c r="AK96" s="113">
        <v>0</v>
      </c>
      <c r="AL96" s="113">
        <v>0</v>
      </c>
      <c r="AM96" s="113">
        <v>0</v>
      </c>
      <c r="AN96" s="113">
        <v>0</v>
      </c>
      <c r="AO96" s="113">
        <v>0</v>
      </c>
      <c r="AP96" s="113">
        <v>0</v>
      </c>
      <c r="AQ96" s="113">
        <v>0</v>
      </c>
      <c r="AR96" s="113">
        <v>0</v>
      </c>
      <c r="AS96" s="113">
        <v>0</v>
      </c>
      <c r="AT96" s="113">
        <v>0</v>
      </c>
      <c r="AU96" s="113">
        <v>0</v>
      </c>
      <c r="AV96" s="113">
        <v>0</v>
      </c>
      <c r="AW96" s="113">
        <v>0</v>
      </c>
      <c r="AX96" s="113">
        <v>0</v>
      </c>
      <c r="AY96" s="113">
        <v>0</v>
      </c>
      <c r="AZ96" s="113">
        <v>0</v>
      </c>
      <c r="BA96" s="113">
        <v>0</v>
      </c>
      <c r="BB96" s="113">
        <v>0</v>
      </c>
      <c r="BC96" s="113">
        <v>0</v>
      </c>
      <c r="BD96" s="113">
        <v>0</v>
      </c>
      <c r="BE96" s="113">
        <v>0</v>
      </c>
      <c r="BF96" s="113">
        <v>0</v>
      </c>
      <c r="BG96" s="113">
        <v>0</v>
      </c>
      <c r="BH96" s="113">
        <v>0</v>
      </c>
      <c r="BI96" s="113">
        <v>0</v>
      </c>
      <c r="BJ96" s="113">
        <v>0</v>
      </c>
      <c r="BK96" s="113">
        <v>0</v>
      </c>
      <c r="BL96" s="113">
        <v>0</v>
      </c>
      <c r="BM96" s="113">
        <v>0</v>
      </c>
      <c r="BN96" s="113">
        <f t="shared" ref="BN96" si="108">X96*53+Z96*77+AB96*30+AD96*40+AF96*75+AH96*140+AJ96*640+AL96*480+AN96*450+AP96*680+AR96*85+AT96*575+AV96*2+AX96*1.5+AZ96*1800+BB96*900+BD96*1500+BF96*1500+BH96*1500+BJ96*600+BL96*750</f>
        <v>44082</v>
      </c>
      <c r="BO96" s="113">
        <f t="shared" ref="BO96" si="109">Y96*53+AA96*77+AC96*30+AE96*40+AG96*75+AI96*140+AK96*640+AM96*480+AO96*450+AQ96*680+AS96*85+AU96*575+AW96*2+AY96*1.5+BA96*1800+BC96*900+BE96*1500+BG96*1500+BI96*1500+BK96*600+BM96*750</f>
        <v>44082</v>
      </c>
      <c r="BP96" s="115" t="s">
        <v>3</v>
      </c>
      <c r="BQ96" s="104" t="s">
        <v>42</v>
      </c>
      <c r="BR96" s="104" t="s">
        <v>42</v>
      </c>
      <c r="BS96" s="104" t="s">
        <v>42</v>
      </c>
      <c r="BT96" s="104" t="s">
        <v>42</v>
      </c>
      <c r="BU96" s="116" t="s">
        <v>428</v>
      </c>
      <c r="BV96" s="191"/>
      <c r="BW96" s="117">
        <v>0</v>
      </c>
      <c r="BX96" s="118">
        <v>46194</v>
      </c>
      <c r="BY96" s="152" t="s">
        <v>42</v>
      </c>
      <c r="BZ96" s="115" t="s">
        <v>3</v>
      </c>
    </row>
    <row r="97" spans="1:78" s="2" customFormat="1" ht="63" customHeight="1" outlineLevel="1" x14ac:dyDescent="0.25">
      <c r="A97" s="34">
        <v>93</v>
      </c>
      <c r="B97" s="104" t="s">
        <v>437</v>
      </c>
      <c r="C97" s="106">
        <v>250631</v>
      </c>
      <c r="D97" s="106">
        <v>1230807</v>
      </c>
      <c r="E97" s="107" t="s">
        <v>412</v>
      </c>
      <c r="F97" s="108">
        <v>46165</v>
      </c>
      <c r="G97" s="108">
        <v>46166</v>
      </c>
      <c r="H97" s="106" t="s">
        <v>42</v>
      </c>
      <c r="I97" s="106" t="s">
        <v>385</v>
      </c>
      <c r="J97" s="108">
        <v>46180</v>
      </c>
      <c r="K97" s="108">
        <v>46352</v>
      </c>
      <c r="L97" s="108">
        <v>46350</v>
      </c>
      <c r="M97" s="108">
        <v>46212</v>
      </c>
      <c r="N97" s="108" t="s">
        <v>240</v>
      </c>
      <c r="O97" s="187">
        <f t="shared" ref="O97:O99" si="110">IF(N97="Backfilling",30,IF(N97="Reinstatement",20,IF(N97="Shut Down",30,IF(N97="Returned",0,""))))</f>
        <v>30</v>
      </c>
      <c r="P97" s="206" t="s">
        <v>280</v>
      </c>
      <c r="Q97" s="109">
        <f t="shared" ref="Q97:Q99" si="111">M97-G97</f>
        <v>46</v>
      </c>
      <c r="R97" s="109" t="s">
        <v>273</v>
      </c>
      <c r="S97" s="110" t="s">
        <v>3</v>
      </c>
      <c r="T97" s="111" t="s">
        <v>261</v>
      </c>
      <c r="U97" s="112" t="s">
        <v>413</v>
      </c>
      <c r="V97" s="108" t="s">
        <v>414</v>
      </c>
      <c r="W97" s="112" t="s">
        <v>312</v>
      </c>
      <c r="X97" s="113">
        <v>500</v>
      </c>
      <c r="Y97" s="113">
        <v>500</v>
      </c>
      <c r="Z97" s="114"/>
      <c r="AA97" s="113">
        <v>0</v>
      </c>
      <c r="AB97" s="113">
        <v>0</v>
      </c>
      <c r="AC97" s="113">
        <v>0</v>
      </c>
      <c r="AD97" s="113">
        <v>500</v>
      </c>
      <c r="AE97" s="113">
        <v>500</v>
      </c>
      <c r="AF97" s="113">
        <v>0</v>
      </c>
      <c r="AG97" s="113">
        <v>0</v>
      </c>
      <c r="AH97" s="113">
        <v>0</v>
      </c>
      <c r="AI97" s="113">
        <v>0</v>
      </c>
      <c r="AJ97" s="113">
        <v>0</v>
      </c>
      <c r="AK97" s="113">
        <v>0</v>
      </c>
      <c r="AL97" s="113">
        <v>0</v>
      </c>
      <c r="AM97" s="113">
        <v>0</v>
      </c>
      <c r="AN97" s="113">
        <v>0</v>
      </c>
      <c r="AO97" s="113">
        <v>0</v>
      </c>
      <c r="AP97" s="113">
        <v>2</v>
      </c>
      <c r="AQ97" s="113">
        <v>2</v>
      </c>
      <c r="AR97" s="113">
        <v>2</v>
      </c>
      <c r="AS97" s="113">
        <v>2</v>
      </c>
      <c r="AT97" s="113">
        <v>0</v>
      </c>
      <c r="AU97" s="113">
        <v>0</v>
      </c>
      <c r="AV97" s="113">
        <v>0</v>
      </c>
      <c r="AW97" s="113">
        <v>0</v>
      </c>
      <c r="AX97" s="113">
        <v>0</v>
      </c>
      <c r="AY97" s="113">
        <v>0</v>
      </c>
      <c r="AZ97" s="113">
        <v>0</v>
      </c>
      <c r="BA97" s="113">
        <v>0</v>
      </c>
      <c r="BB97" s="113">
        <v>0</v>
      </c>
      <c r="BC97" s="113">
        <v>0</v>
      </c>
      <c r="BD97" s="113">
        <v>0</v>
      </c>
      <c r="BE97" s="113">
        <v>0</v>
      </c>
      <c r="BF97" s="113">
        <v>0</v>
      </c>
      <c r="BG97" s="113">
        <v>0</v>
      </c>
      <c r="BH97" s="113">
        <v>0</v>
      </c>
      <c r="BI97" s="113">
        <v>0</v>
      </c>
      <c r="BJ97" s="113">
        <v>0</v>
      </c>
      <c r="BK97" s="113">
        <v>0</v>
      </c>
      <c r="BL97" s="113">
        <v>0</v>
      </c>
      <c r="BM97" s="113">
        <v>0</v>
      </c>
      <c r="BN97" s="113">
        <f t="shared" ref="BN97:BN99" si="112">X97*53+Z97*77+AB97*30+AD97*40+AF97*75+AH97*140+AJ97*640+AL97*480+AN97*450+AP97*680+AR97*85+AT97*575+AV97*2+AX97*1.5+AZ97*1800+BB97*900+BD97*1500+BF97*1500+BH97*1500+BJ97*600+BL97*750</f>
        <v>48030</v>
      </c>
      <c r="BO97" s="113">
        <f t="shared" ref="BO97:BO99" si="113">Y97*53+AA97*77+AC97*30+AE97*40+AG97*75+AI97*140+AK97*640+AM97*480+AO97*450+AQ97*680+AS97*85+AU97*575+AW97*2+AY97*1.5+BA97*1800+BC97*900+BE97*1500+BG97*1500+BI97*1500+BK97*600+BM97*750</f>
        <v>48030</v>
      </c>
      <c r="BP97" s="110" t="s">
        <v>3</v>
      </c>
      <c r="BQ97" s="104" t="s">
        <v>42</v>
      </c>
      <c r="BR97" s="104" t="s">
        <v>42</v>
      </c>
      <c r="BS97" s="104" t="s">
        <v>42</v>
      </c>
      <c r="BT97" s="104" t="s">
        <v>42</v>
      </c>
      <c r="BU97" s="116" t="s">
        <v>437</v>
      </c>
      <c r="BV97" s="191"/>
      <c r="BW97" s="117">
        <v>0</v>
      </c>
      <c r="BX97" s="118">
        <v>46208</v>
      </c>
      <c r="BY97" s="152" t="s">
        <v>42</v>
      </c>
      <c r="BZ97" s="115" t="s">
        <v>3</v>
      </c>
    </row>
    <row r="98" spans="1:78" s="2" customFormat="1" ht="63" customHeight="1" outlineLevel="1" x14ac:dyDescent="0.25">
      <c r="A98" s="34">
        <v>94</v>
      </c>
      <c r="B98" s="104" t="s">
        <v>440</v>
      </c>
      <c r="C98" s="106">
        <v>250631</v>
      </c>
      <c r="D98" s="106">
        <v>1230807</v>
      </c>
      <c r="E98" s="107" t="s">
        <v>412</v>
      </c>
      <c r="F98" s="108">
        <v>46165</v>
      </c>
      <c r="G98" s="108">
        <v>46166</v>
      </c>
      <c r="H98" s="106" t="s">
        <v>42</v>
      </c>
      <c r="I98" s="106" t="s">
        <v>385</v>
      </c>
      <c r="J98" s="108">
        <v>46180</v>
      </c>
      <c r="K98" s="108">
        <v>46352</v>
      </c>
      <c r="L98" s="108">
        <v>46350</v>
      </c>
      <c r="M98" s="108">
        <v>46212</v>
      </c>
      <c r="N98" s="108" t="s">
        <v>240</v>
      </c>
      <c r="O98" s="187"/>
      <c r="P98" s="206" t="s">
        <v>280</v>
      </c>
      <c r="Q98" s="109">
        <f t="shared" si="111"/>
        <v>46</v>
      </c>
      <c r="R98" s="109" t="s">
        <v>273</v>
      </c>
      <c r="S98" s="110" t="s">
        <v>157</v>
      </c>
      <c r="T98" s="111" t="s">
        <v>261</v>
      </c>
      <c r="U98" s="112" t="s">
        <v>413</v>
      </c>
      <c r="V98" s="108" t="s">
        <v>414</v>
      </c>
      <c r="W98" s="112" t="s">
        <v>312</v>
      </c>
      <c r="X98" s="113">
        <v>144</v>
      </c>
      <c r="Y98" s="113">
        <v>144</v>
      </c>
      <c r="Z98" s="114">
        <f>12*4</f>
        <v>48</v>
      </c>
      <c r="AA98" s="113">
        <f>12*4</f>
        <v>48</v>
      </c>
      <c r="AB98" s="113"/>
      <c r="AC98" s="113"/>
      <c r="AD98" s="113">
        <v>140</v>
      </c>
      <c r="AE98" s="113">
        <v>140</v>
      </c>
      <c r="AF98" s="113">
        <v>0</v>
      </c>
      <c r="AG98" s="113">
        <v>0</v>
      </c>
      <c r="AH98" s="113">
        <f>12*5</f>
        <v>60</v>
      </c>
      <c r="AI98" s="113">
        <f>12*5</f>
        <v>60</v>
      </c>
      <c r="AJ98" s="113">
        <v>0</v>
      </c>
      <c r="AK98" s="113">
        <v>0</v>
      </c>
      <c r="AL98" s="113">
        <v>0</v>
      </c>
      <c r="AM98" s="113">
        <v>0</v>
      </c>
      <c r="AN98" s="113">
        <v>0</v>
      </c>
      <c r="AO98" s="113">
        <v>0</v>
      </c>
      <c r="AP98" s="113">
        <v>3</v>
      </c>
      <c r="AQ98" s="113">
        <v>3</v>
      </c>
      <c r="AR98" s="113">
        <v>3</v>
      </c>
      <c r="AS98" s="113">
        <v>3</v>
      </c>
      <c r="AT98" s="113">
        <v>0</v>
      </c>
      <c r="AU98" s="113">
        <v>0</v>
      </c>
      <c r="AV98" s="113">
        <v>0</v>
      </c>
      <c r="AW98" s="113">
        <v>0</v>
      </c>
      <c r="AX98" s="113">
        <v>0</v>
      </c>
      <c r="AY98" s="113">
        <v>0</v>
      </c>
      <c r="AZ98" s="113">
        <v>0</v>
      </c>
      <c r="BA98" s="113">
        <v>0</v>
      </c>
      <c r="BB98" s="113">
        <v>0</v>
      </c>
      <c r="BC98" s="113">
        <v>0</v>
      </c>
      <c r="BD98" s="113">
        <v>0</v>
      </c>
      <c r="BE98" s="113">
        <v>0</v>
      </c>
      <c r="BF98" s="113">
        <v>0</v>
      </c>
      <c r="BG98" s="113">
        <v>0</v>
      </c>
      <c r="BH98" s="113">
        <v>0</v>
      </c>
      <c r="BI98" s="113">
        <v>0</v>
      </c>
      <c r="BJ98" s="113">
        <v>0</v>
      </c>
      <c r="BK98" s="113">
        <v>0</v>
      </c>
      <c r="BL98" s="113">
        <v>0</v>
      </c>
      <c r="BM98" s="113">
        <v>0</v>
      </c>
      <c r="BN98" s="113">
        <f t="shared" si="112"/>
        <v>27623</v>
      </c>
      <c r="BO98" s="113">
        <f t="shared" si="113"/>
        <v>27623</v>
      </c>
      <c r="BP98" s="115" t="s">
        <v>3</v>
      </c>
      <c r="BQ98" s="104" t="s">
        <v>42</v>
      </c>
      <c r="BR98" s="104" t="s">
        <v>42</v>
      </c>
      <c r="BS98" s="104" t="s">
        <v>157</v>
      </c>
      <c r="BT98" s="104" t="s">
        <v>42</v>
      </c>
      <c r="BU98" s="116" t="s">
        <v>440</v>
      </c>
      <c r="BV98" s="191"/>
      <c r="BW98" s="117">
        <v>0</v>
      </c>
      <c r="BX98" s="118">
        <v>46218</v>
      </c>
      <c r="BY98" s="152" t="s">
        <v>42</v>
      </c>
      <c r="BZ98" s="115" t="s">
        <v>3</v>
      </c>
    </row>
    <row r="99" spans="1:78" s="2" customFormat="1" ht="63" customHeight="1" outlineLevel="1" x14ac:dyDescent="0.25">
      <c r="A99" s="34">
        <v>95</v>
      </c>
      <c r="B99" s="104" t="s">
        <v>457</v>
      </c>
      <c r="C99" s="106">
        <v>250631</v>
      </c>
      <c r="D99" s="106">
        <v>1230807</v>
      </c>
      <c r="E99" s="107" t="s">
        <v>412</v>
      </c>
      <c r="F99" s="108">
        <v>46165</v>
      </c>
      <c r="G99" s="108">
        <v>46166</v>
      </c>
      <c r="H99" s="106" t="s">
        <v>42</v>
      </c>
      <c r="I99" s="106" t="s">
        <v>385</v>
      </c>
      <c r="J99" s="108">
        <v>46180</v>
      </c>
      <c r="K99" s="108">
        <v>46352</v>
      </c>
      <c r="L99" s="108">
        <v>46350</v>
      </c>
      <c r="M99" s="108">
        <v>46212</v>
      </c>
      <c r="N99" s="108" t="s">
        <v>240</v>
      </c>
      <c r="O99" s="187">
        <f t="shared" si="110"/>
        <v>30</v>
      </c>
      <c r="P99" s="206" t="s">
        <v>280</v>
      </c>
      <c r="Q99" s="109">
        <f t="shared" si="111"/>
        <v>46</v>
      </c>
      <c r="R99" s="109" t="s">
        <v>273</v>
      </c>
      <c r="S99" s="110" t="s">
        <v>157</v>
      </c>
      <c r="T99" s="111" t="s">
        <v>261</v>
      </c>
      <c r="U99" s="112" t="s">
        <v>413</v>
      </c>
      <c r="V99" s="108" t="s">
        <v>414</v>
      </c>
      <c r="W99" s="112" t="s">
        <v>312</v>
      </c>
      <c r="X99" s="113">
        <v>30</v>
      </c>
      <c r="Y99" s="113">
        <v>30</v>
      </c>
      <c r="Z99" s="114">
        <v>0</v>
      </c>
      <c r="AA99" s="113">
        <v>0</v>
      </c>
      <c r="AB99" s="113">
        <v>0</v>
      </c>
      <c r="AC99" s="113">
        <v>0</v>
      </c>
      <c r="AD99" s="113">
        <v>0</v>
      </c>
      <c r="AE99" s="113">
        <v>0</v>
      </c>
      <c r="AF99" s="113">
        <v>0</v>
      </c>
      <c r="AG99" s="113">
        <v>0</v>
      </c>
      <c r="AH99" s="113">
        <v>0</v>
      </c>
      <c r="AI99" s="113">
        <v>0</v>
      </c>
      <c r="AJ99" s="113">
        <v>0</v>
      </c>
      <c r="AK99" s="113">
        <v>0</v>
      </c>
      <c r="AL99" s="113">
        <v>1</v>
      </c>
      <c r="AM99" s="113">
        <v>1</v>
      </c>
      <c r="AN99" s="113">
        <v>0</v>
      </c>
      <c r="AO99" s="113">
        <v>0</v>
      </c>
      <c r="AP99" s="113">
        <v>5</v>
      </c>
      <c r="AQ99" s="113">
        <v>5</v>
      </c>
      <c r="AR99" s="113">
        <v>4</v>
      </c>
      <c r="AS99" s="113">
        <v>4</v>
      </c>
      <c r="AT99" s="113">
        <v>3</v>
      </c>
      <c r="AU99" s="113">
        <v>3</v>
      </c>
      <c r="AV99" s="113">
        <v>0</v>
      </c>
      <c r="AW99" s="113">
        <v>0</v>
      </c>
      <c r="AX99" s="113">
        <v>0</v>
      </c>
      <c r="AY99" s="113">
        <v>0</v>
      </c>
      <c r="AZ99" s="113">
        <v>0</v>
      </c>
      <c r="BA99" s="113">
        <v>0</v>
      </c>
      <c r="BB99" s="113">
        <v>0</v>
      </c>
      <c r="BC99" s="113">
        <v>0</v>
      </c>
      <c r="BD99" s="113">
        <v>0</v>
      </c>
      <c r="BE99" s="113">
        <v>0</v>
      </c>
      <c r="BF99" s="113">
        <v>0</v>
      </c>
      <c r="BG99" s="113">
        <v>0</v>
      </c>
      <c r="BH99" s="113">
        <v>0</v>
      </c>
      <c r="BI99" s="113">
        <v>0</v>
      </c>
      <c r="BJ99" s="113">
        <v>0</v>
      </c>
      <c r="BK99" s="113">
        <v>0</v>
      </c>
      <c r="BL99" s="113">
        <v>0</v>
      </c>
      <c r="BM99" s="113">
        <v>0</v>
      </c>
      <c r="BN99" s="113">
        <f t="shared" si="112"/>
        <v>7535</v>
      </c>
      <c r="BO99" s="113">
        <f t="shared" si="113"/>
        <v>7535</v>
      </c>
      <c r="BP99" s="115" t="s">
        <v>3</v>
      </c>
      <c r="BQ99" s="104" t="s">
        <v>42</v>
      </c>
      <c r="BR99" s="104" t="s">
        <v>42</v>
      </c>
      <c r="BS99" s="104" t="s">
        <v>157</v>
      </c>
      <c r="BT99" s="104" t="s">
        <v>42</v>
      </c>
      <c r="BU99" s="116" t="s">
        <v>457</v>
      </c>
      <c r="BV99" s="191"/>
      <c r="BW99" s="117"/>
      <c r="BX99" s="118">
        <v>46236</v>
      </c>
      <c r="BY99" s="152" t="s">
        <v>42</v>
      </c>
      <c r="BZ99" s="115" t="s">
        <v>3</v>
      </c>
    </row>
    <row r="100" spans="1:78" s="2" customFormat="1" ht="63" customHeight="1" outlineLevel="1" x14ac:dyDescent="0.25">
      <c r="A100" s="34">
        <v>96</v>
      </c>
      <c r="B100" s="82">
        <v>49</v>
      </c>
      <c r="C100" s="78">
        <v>250810</v>
      </c>
      <c r="D100" s="78">
        <v>1232563</v>
      </c>
      <c r="E100" s="85" t="s">
        <v>415</v>
      </c>
      <c r="F100" s="36">
        <v>46173</v>
      </c>
      <c r="G100" s="36">
        <v>46173</v>
      </c>
      <c r="H100" s="78" t="s">
        <v>191</v>
      </c>
      <c r="I100" s="78" t="s">
        <v>266</v>
      </c>
      <c r="J100" s="36" t="s">
        <v>161</v>
      </c>
      <c r="K100" s="36" t="s">
        <v>161</v>
      </c>
      <c r="L100" s="36" t="s">
        <v>416</v>
      </c>
      <c r="M100" s="36">
        <f t="shared" ca="1" si="106"/>
        <v>46277</v>
      </c>
      <c r="N100" s="36" t="s">
        <v>262</v>
      </c>
      <c r="O100" s="169"/>
      <c r="P100" s="77" t="s">
        <v>280</v>
      </c>
      <c r="Q100" s="66">
        <f t="shared" ca="1" si="64"/>
        <v>104</v>
      </c>
      <c r="R100" s="160" t="s">
        <v>260</v>
      </c>
      <c r="S100" s="136" t="s">
        <v>42</v>
      </c>
      <c r="T100" s="35" t="s">
        <v>42</v>
      </c>
      <c r="U100" s="38" t="s">
        <v>417</v>
      </c>
      <c r="V100" s="34" t="s">
        <v>418</v>
      </c>
      <c r="W100" s="40" t="s">
        <v>419</v>
      </c>
      <c r="X100" s="47">
        <v>200</v>
      </c>
      <c r="Y100" s="47">
        <v>0</v>
      </c>
      <c r="Z100" s="76">
        <v>0</v>
      </c>
      <c r="AA100" s="47">
        <v>0</v>
      </c>
      <c r="AB100" s="47">
        <v>0</v>
      </c>
      <c r="AC100" s="47">
        <v>0</v>
      </c>
      <c r="AD100" s="47">
        <v>1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16</v>
      </c>
      <c r="AQ100" s="47">
        <v>0</v>
      </c>
      <c r="AR100" s="47">
        <v>16</v>
      </c>
      <c r="AS100" s="47">
        <v>0</v>
      </c>
      <c r="AT100" s="47">
        <v>8</v>
      </c>
      <c r="AU100" s="47"/>
      <c r="AV100" s="47">
        <v>200</v>
      </c>
      <c r="AW100" s="47">
        <v>0</v>
      </c>
      <c r="AX100" s="47">
        <v>0</v>
      </c>
      <c r="AY100" s="47">
        <v>0</v>
      </c>
      <c r="AZ100" s="47">
        <v>0</v>
      </c>
      <c r="BA100" s="47">
        <v>0</v>
      </c>
      <c r="BB100" s="47">
        <v>0</v>
      </c>
      <c r="BC100" s="47">
        <v>0</v>
      </c>
      <c r="BD100" s="47">
        <v>0</v>
      </c>
      <c r="BE100" s="47">
        <v>0</v>
      </c>
      <c r="BF100" s="47">
        <v>0</v>
      </c>
      <c r="BG100" s="47">
        <v>0</v>
      </c>
      <c r="BH100" s="47">
        <v>0</v>
      </c>
      <c r="BI100" s="47">
        <v>0</v>
      </c>
      <c r="BJ100" s="47">
        <v>0</v>
      </c>
      <c r="BK100" s="47">
        <v>0</v>
      </c>
      <c r="BL100" s="47">
        <v>0</v>
      </c>
      <c r="BM100" s="47">
        <v>0</v>
      </c>
      <c r="BN100" s="47">
        <f t="shared" si="2"/>
        <v>27880</v>
      </c>
      <c r="BO100" s="47">
        <v>0</v>
      </c>
      <c r="BP100" s="39" t="s">
        <v>275</v>
      </c>
      <c r="BQ100" s="35" t="s">
        <v>42</v>
      </c>
      <c r="BR100" s="34" t="s">
        <v>42</v>
      </c>
      <c r="BS100" s="34" t="s">
        <v>157</v>
      </c>
      <c r="BT100" s="34" t="s">
        <v>42</v>
      </c>
      <c r="BU100" s="84">
        <v>49</v>
      </c>
      <c r="BV100" s="194"/>
      <c r="BW100" s="67">
        <v>0</v>
      </c>
      <c r="BX100" s="68" t="s">
        <v>156</v>
      </c>
      <c r="BY100" s="155" t="s">
        <v>42</v>
      </c>
      <c r="BZ100" s="34" t="s">
        <v>190</v>
      </c>
    </row>
    <row r="101" spans="1:78" s="2" customFormat="1" ht="63" customHeight="1" outlineLevel="1" x14ac:dyDescent="0.25">
      <c r="A101" s="34">
        <v>97</v>
      </c>
      <c r="B101" s="120">
        <v>50</v>
      </c>
      <c r="C101" s="121">
        <v>251033</v>
      </c>
      <c r="D101" s="121">
        <v>1234577</v>
      </c>
      <c r="E101" s="122" t="s">
        <v>423</v>
      </c>
      <c r="F101" s="123">
        <v>46180</v>
      </c>
      <c r="G101" s="123">
        <v>46180</v>
      </c>
      <c r="H101" s="121">
        <v>830900</v>
      </c>
      <c r="I101" s="121" t="s">
        <v>385</v>
      </c>
      <c r="J101" s="123">
        <v>46195</v>
      </c>
      <c r="K101" s="123">
        <v>46371</v>
      </c>
      <c r="L101" s="123">
        <v>46362</v>
      </c>
      <c r="M101" s="123">
        <f t="shared" ca="1" si="106"/>
        <v>46277</v>
      </c>
      <c r="N101" s="123" t="s">
        <v>157</v>
      </c>
      <c r="O101" s="210"/>
      <c r="P101" s="204" t="s">
        <v>280</v>
      </c>
      <c r="Q101" s="124">
        <f t="shared" ca="1" si="64"/>
        <v>97</v>
      </c>
      <c r="R101" s="124" t="s">
        <v>260</v>
      </c>
      <c r="S101" s="125" t="s">
        <v>42</v>
      </c>
      <c r="T101" s="126" t="s">
        <v>42</v>
      </c>
      <c r="U101" s="127"/>
      <c r="V101" s="123" t="s">
        <v>344</v>
      </c>
      <c r="W101" s="127" t="s">
        <v>330</v>
      </c>
      <c r="X101" s="128">
        <v>30</v>
      </c>
      <c r="Y101" s="128">
        <v>0</v>
      </c>
      <c r="Z101" s="129">
        <v>0</v>
      </c>
      <c r="AA101" s="128">
        <v>0</v>
      </c>
      <c r="AB101" s="128">
        <v>0</v>
      </c>
      <c r="AC101" s="128">
        <v>0</v>
      </c>
      <c r="AD101" s="128">
        <v>200</v>
      </c>
      <c r="AE101" s="128">
        <v>0</v>
      </c>
      <c r="AF101" s="128">
        <v>1</v>
      </c>
      <c r="AG101" s="128">
        <v>0</v>
      </c>
      <c r="AH101" s="128">
        <v>0</v>
      </c>
      <c r="AI101" s="128">
        <v>0</v>
      </c>
      <c r="AJ101" s="128">
        <v>0</v>
      </c>
      <c r="AK101" s="128">
        <v>0</v>
      </c>
      <c r="AL101" s="128">
        <v>0</v>
      </c>
      <c r="AM101" s="128">
        <v>0</v>
      </c>
      <c r="AN101" s="128">
        <v>0</v>
      </c>
      <c r="AO101" s="128">
        <v>0</v>
      </c>
      <c r="AP101" s="128">
        <f>6-3</f>
        <v>3</v>
      </c>
      <c r="AQ101" s="128">
        <v>0</v>
      </c>
      <c r="AR101" s="128">
        <v>4</v>
      </c>
      <c r="AS101" s="128">
        <v>0</v>
      </c>
      <c r="AT101" s="128">
        <v>8</v>
      </c>
      <c r="AU101" s="128">
        <v>0</v>
      </c>
      <c r="AV101" s="128">
        <v>0</v>
      </c>
      <c r="AW101" s="128">
        <v>0</v>
      </c>
      <c r="AX101" s="128">
        <v>0</v>
      </c>
      <c r="AY101" s="128">
        <v>0</v>
      </c>
      <c r="AZ101" s="128">
        <v>0</v>
      </c>
      <c r="BA101" s="128">
        <v>0</v>
      </c>
      <c r="BB101" s="128">
        <v>0</v>
      </c>
      <c r="BC101" s="128">
        <v>0</v>
      </c>
      <c r="BD101" s="128">
        <v>0</v>
      </c>
      <c r="BE101" s="128">
        <v>0</v>
      </c>
      <c r="BF101" s="128">
        <v>0</v>
      </c>
      <c r="BG101" s="128">
        <v>0</v>
      </c>
      <c r="BH101" s="128">
        <v>0</v>
      </c>
      <c r="BI101" s="128">
        <v>0</v>
      </c>
      <c r="BJ101" s="128">
        <v>0</v>
      </c>
      <c r="BK101" s="128">
        <v>0</v>
      </c>
      <c r="BL101" s="128">
        <v>0</v>
      </c>
      <c r="BM101" s="128">
        <v>0</v>
      </c>
      <c r="BN101" s="128">
        <f t="shared" si="2"/>
        <v>16645</v>
      </c>
      <c r="BO101" s="128">
        <v>0</v>
      </c>
      <c r="BP101" s="125" t="s">
        <v>157</v>
      </c>
      <c r="BQ101" s="120" t="s">
        <v>42</v>
      </c>
      <c r="BR101" s="120" t="s">
        <v>42</v>
      </c>
      <c r="BS101" s="120" t="s">
        <v>157</v>
      </c>
      <c r="BT101" s="120" t="s">
        <v>42</v>
      </c>
      <c r="BU101" s="130">
        <v>50</v>
      </c>
      <c r="BV101" s="190"/>
      <c r="BW101" s="131">
        <v>0</v>
      </c>
      <c r="BX101" s="132" t="s">
        <v>156</v>
      </c>
      <c r="BY101" s="151" t="s">
        <v>42</v>
      </c>
      <c r="BZ101" s="133" t="s">
        <v>157</v>
      </c>
    </row>
    <row r="102" spans="1:78" s="2" customFormat="1" ht="63" customHeight="1" outlineLevel="1" x14ac:dyDescent="0.25">
      <c r="A102" s="34">
        <v>98</v>
      </c>
      <c r="B102" s="120" t="s">
        <v>473</v>
      </c>
      <c r="C102" s="121">
        <v>251033</v>
      </c>
      <c r="D102" s="121">
        <v>1234577</v>
      </c>
      <c r="E102" s="122" t="s">
        <v>423</v>
      </c>
      <c r="F102" s="123">
        <v>46180</v>
      </c>
      <c r="G102" s="123">
        <v>46180</v>
      </c>
      <c r="H102" s="121">
        <v>830900</v>
      </c>
      <c r="I102" s="121" t="s">
        <v>385</v>
      </c>
      <c r="J102" s="123">
        <v>46195</v>
      </c>
      <c r="K102" s="123">
        <v>46371</v>
      </c>
      <c r="L102" s="123">
        <v>46362</v>
      </c>
      <c r="M102" s="123">
        <f t="shared" ca="1" si="106"/>
        <v>46277</v>
      </c>
      <c r="N102" s="123" t="s">
        <v>157</v>
      </c>
      <c r="O102" s="210"/>
      <c r="P102" s="204" t="s">
        <v>280</v>
      </c>
      <c r="Q102" s="124">
        <f t="shared" ref="Q102" ca="1" si="114">M102-G102</f>
        <v>97</v>
      </c>
      <c r="R102" s="124" t="s">
        <v>260</v>
      </c>
      <c r="S102" s="125" t="s">
        <v>42</v>
      </c>
      <c r="T102" s="126" t="s">
        <v>42</v>
      </c>
      <c r="U102" s="127"/>
      <c r="V102" s="123" t="s">
        <v>344</v>
      </c>
      <c r="W102" s="127" t="s">
        <v>330</v>
      </c>
      <c r="X102" s="128">
        <v>590</v>
      </c>
      <c r="Y102" s="128">
        <v>590</v>
      </c>
      <c r="Z102" s="129">
        <f>17*6</f>
        <v>102</v>
      </c>
      <c r="AA102" s="128">
        <v>102</v>
      </c>
      <c r="AB102" s="128">
        <v>0</v>
      </c>
      <c r="AC102" s="128">
        <v>0</v>
      </c>
      <c r="AD102" s="128">
        <v>0</v>
      </c>
      <c r="AE102" s="128">
        <v>0</v>
      </c>
      <c r="AF102" s="128">
        <v>0</v>
      </c>
      <c r="AG102" s="128">
        <v>0</v>
      </c>
      <c r="AH102" s="128">
        <f>17*5</f>
        <v>85</v>
      </c>
      <c r="AI102" s="128">
        <v>85</v>
      </c>
      <c r="AJ102" s="128">
        <v>0</v>
      </c>
      <c r="AK102" s="128">
        <v>0</v>
      </c>
      <c r="AL102" s="128">
        <v>0</v>
      </c>
      <c r="AM102" s="128">
        <v>0</v>
      </c>
      <c r="AN102" s="128">
        <v>0</v>
      </c>
      <c r="AO102" s="128">
        <v>0</v>
      </c>
      <c r="AP102" s="128">
        <v>3</v>
      </c>
      <c r="AQ102" s="128">
        <v>3</v>
      </c>
      <c r="AR102" s="128">
        <v>0</v>
      </c>
      <c r="AS102" s="128">
        <v>0</v>
      </c>
      <c r="AT102" s="128">
        <v>0</v>
      </c>
      <c r="AU102" s="128">
        <v>0</v>
      </c>
      <c r="AV102" s="128">
        <v>0</v>
      </c>
      <c r="AW102" s="128">
        <v>0</v>
      </c>
      <c r="AX102" s="128">
        <v>0</v>
      </c>
      <c r="AY102" s="128">
        <v>0</v>
      </c>
      <c r="AZ102" s="128">
        <v>0</v>
      </c>
      <c r="BA102" s="128">
        <v>0</v>
      </c>
      <c r="BB102" s="128">
        <v>0</v>
      </c>
      <c r="BC102" s="128">
        <v>0</v>
      </c>
      <c r="BD102" s="128">
        <v>0</v>
      </c>
      <c r="BE102" s="128">
        <v>0</v>
      </c>
      <c r="BF102" s="128">
        <v>0</v>
      </c>
      <c r="BG102" s="128">
        <v>0</v>
      </c>
      <c r="BH102" s="128">
        <v>0</v>
      </c>
      <c r="BI102" s="128">
        <v>0</v>
      </c>
      <c r="BJ102" s="128">
        <v>0</v>
      </c>
      <c r="BK102" s="128">
        <v>0</v>
      </c>
      <c r="BL102" s="128">
        <v>0</v>
      </c>
      <c r="BM102" s="128">
        <v>0</v>
      </c>
      <c r="BN102" s="128">
        <f t="shared" si="2"/>
        <v>53064</v>
      </c>
      <c r="BO102" s="128">
        <f t="shared" si="2"/>
        <v>53064</v>
      </c>
      <c r="BP102" s="125" t="s">
        <v>3</v>
      </c>
      <c r="BQ102" s="120" t="s">
        <v>42</v>
      </c>
      <c r="BR102" s="120" t="s">
        <v>42</v>
      </c>
      <c r="BS102" s="120" t="s">
        <v>157</v>
      </c>
      <c r="BT102" s="120" t="s">
        <v>42</v>
      </c>
      <c r="BU102" s="130" t="s">
        <v>473</v>
      </c>
      <c r="BV102" s="190"/>
      <c r="BW102" s="131"/>
      <c r="BX102" s="217">
        <v>46264</v>
      </c>
      <c r="BY102" s="151" t="s">
        <v>42</v>
      </c>
      <c r="BZ102" s="133" t="s">
        <v>246</v>
      </c>
    </row>
    <row r="103" spans="1:78" s="2" customFormat="1" ht="63" customHeight="1" outlineLevel="1" x14ac:dyDescent="0.25">
      <c r="A103" s="34">
        <v>99</v>
      </c>
      <c r="B103" s="82">
        <v>51</v>
      </c>
      <c r="C103" s="78">
        <v>252396</v>
      </c>
      <c r="D103" s="78">
        <v>1243518</v>
      </c>
      <c r="E103" s="85" t="s">
        <v>444</v>
      </c>
      <c r="F103" s="36">
        <v>46208</v>
      </c>
      <c r="G103" s="36">
        <v>46208</v>
      </c>
      <c r="H103" s="78">
        <v>838288</v>
      </c>
      <c r="I103" s="78" t="s">
        <v>385</v>
      </c>
      <c r="J103" s="36">
        <v>46250</v>
      </c>
      <c r="K103" s="36">
        <v>46429</v>
      </c>
      <c r="L103" s="36">
        <v>46392</v>
      </c>
      <c r="M103" s="36">
        <f t="shared" ca="1" si="106"/>
        <v>46277</v>
      </c>
      <c r="N103" s="36" t="s">
        <v>262</v>
      </c>
      <c r="O103" s="169"/>
      <c r="P103" s="77" t="s">
        <v>280</v>
      </c>
      <c r="Q103" s="66">
        <f t="shared" ca="1" si="64"/>
        <v>69</v>
      </c>
      <c r="R103" s="160" t="s">
        <v>260</v>
      </c>
      <c r="S103" s="136" t="s">
        <v>42</v>
      </c>
      <c r="T103" s="35" t="s">
        <v>42</v>
      </c>
      <c r="U103" s="38" t="s">
        <v>432</v>
      </c>
      <c r="V103" s="34" t="s">
        <v>283</v>
      </c>
      <c r="W103" s="40" t="s">
        <v>315</v>
      </c>
      <c r="X103" s="47">
        <v>582</v>
      </c>
      <c r="Y103" s="47">
        <v>0</v>
      </c>
      <c r="Z103" s="76">
        <v>1</v>
      </c>
      <c r="AA103" s="47">
        <v>0</v>
      </c>
      <c r="AB103" s="47">
        <v>0</v>
      </c>
      <c r="AC103" s="47">
        <v>0</v>
      </c>
      <c r="AD103" s="47">
        <v>100</v>
      </c>
      <c r="AE103" s="47">
        <v>0</v>
      </c>
      <c r="AF103" s="47">
        <v>1</v>
      </c>
      <c r="AG103" s="47">
        <v>0</v>
      </c>
      <c r="AH103" s="47">
        <v>1</v>
      </c>
      <c r="AI103" s="47">
        <v>0</v>
      </c>
      <c r="AJ103" s="47">
        <v>0</v>
      </c>
      <c r="AK103" s="47">
        <v>0</v>
      </c>
      <c r="AL103" s="47">
        <v>1</v>
      </c>
      <c r="AM103" s="47">
        <v>0</v>
      </c>
      <c r="AN103" s="47">
        <v>1</v>
      </c>
      <c r="AO103" s="47">
        <v>0</v>
      </c>
      <c r="AP103" s="47">
        <v>6</v>
      </c>
      <c r="AQ103" s="47">
        <v>0</v>
      </c>
      <c r="AR103" s="47">
        <v>6</v>
      </c>
      <c r="AS103" s="47">
        <v>0</v>
      </c>
      <c r="AT103" s="47">
        <v>3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0</v>
      </c>
      <c r="BI103" s="47">
        <v>0</v>
      </c>
      <c r="BJ103" s="47">
        <v>0</v>
      </c>
      <c r="BK103" s="47">
        <v>0</v>
      </c>
      <c r="BL103" s="47">
        <v>0</v>
      </c>
      <c r="BM103" s="47">
        <v>0</v>
      </c>
      <c r="BN103" s="47">
        <f t="shared" si="2"/>
        <v>42383</v>
      </c>
      <c r="BO103" s="47">
        <v>0</v>
      </c>
      <c r="BP103" s="39" t="s">
        <v>275</v>
      </c>
      <c r="BQ103" s="35" t="s">
        <v>42</v>
      </c>
      <c r="BR103" s="34" t="s">
        <v>42</v>
      </c>
      <c r="BS103" s="34" t="s">
        <v>157</v>
      </c>
      <c r="BT103" s="34" t="s">
        <v>42</v>
      </c>
      <c r="BU103" s="84">
        <v>51</v>
      </c>
      <c r="BV103" s="194"/>
      <c r="BW103" s="67">
        <v>0</v>
      </c>
      <c r="BX103" s="68" t="s">
        <v>156</v>
      </c>
      <c r="BY103" s="155" t="s">
        <v>42</v>
      </c>
      <c r="BZ103" s="34" t="s">
        <v>190</v>
      </c>
    </row>
    <row r="104" spans="1:78" s="2" customFormat="1" ht="63" customHeight="1" outlineLevel="1" x14ac:dyDescent="0.25">
      <c r="A104" s="34">
        <v>100</v>
      </c>
      <c r="B104" s="82">
        <v>52</v>
      </c>
      <c r="C104" s="78">
        <v>253333</v>
      </c>
      <c r="D104" s="78">
        <v>1251556</v>
      </c>
      <c r="E104" s="85" t="s">
        <v>456</v>
      </c>
      <c r="F104" s="36">
        <v>46234</v>
      </c>
      <c r="G104" s="36">
        <v>46235</v>
      </c>
      <c r="H104" s="78" t="s">
        <v>42</v>
      </c>
      <c r="I104" s="78" t="s">
        <v>266</v>
      </c>
      <c r="J104" s="36" t="s">
        <v>161</v>
      </c>
      <c r="K104" s="36" t="s">
        <v>161</v>
      </c>
      <c r="L104" s="36">
        <v>46419</v>
      </c>
      <c r="M104" s="36">
        <f t="shared" ca="1" si="106"/>
        <v>46277</v>
      </c>
      <c r="N104" s="36" t="s">
        <v>262</v>
      </c>
      <c r="O104" s="169"/>
      <c r="P104" s="77" t="s">
        <v>280</v>
      </c>
      <c r="Q104" s="66">
        <f t="shared" ca="1" si="64"/>
        <v>42</v>
      </c>
      <c r="R104" s="160" t="s">
        <v>260</v>
      </c>
      <c r="S104" s="136" t="s">
        <v>42</v>
      </c>
      <c r="T104" s="35" t="s">
        <v>42</v>
      </c>
      <c r="U104" s="38" t="s">
        <v>449</v>
      </c>
      <c r="V104" s="34" t="s">
        <v>450</v>
      </c>
      <c r="W104" s="40" t="s">
        <v>451</v>
      </c>
      <c r="X104" s="47">
        <v>600</v>
      </c>
      <c r="Y104" s="47">
        <v>0</v>
      </c>
      <c r="Z104" s="76">
        <v>1</v>
      </c>
      <c r="AA104" s="47">
        <v>0</v>
      </c>
      <c r="AB104" s="47">
        <v>1</v>
      </c>
      <c r="AC104" s="47">
        <v>0</v>
      </c>
      <c r="AD104" s="47">
        <v>1</v>
      </c>
      <c r="AE104" s="47">
        <v>0</v>
      </c>
      <c r="AF104" s="47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0</v>
      </c>
      <c r="AL104" s="47">
        <v>0</v>
      </c>
      <c r="AM104" s="47">
        <v>0</v>
      </c>
      <c r="AN104" s="47">
        <v>0</v>
      </c>
      <c r="AO104" s="47">
        <v>0</v>
      </c>
      <c r="AP104" s="47">
        <v>15</v>
      </c>
      <c r="AQ104" s="47">
        <v>0</v>
      </c>
      <c r="AR104" s="47">
        <v>15</v>
      </c>
      <c r="AS104" s="47">
        <v>0</v>
      </c>
      <c r="AT104" s="47">
        <v>6</v>
      </c>
      <c r="AU104" s="47">
        <v>0</v>
      </c>
      <c r="AV104" s="47">
        <v>0</v>
      </c>
      <c r="AW104" s="47">
        <v>0</v>
      </c>
      <c r="AX104" s="47">
        <v>0</v>
      </c>
      <c r="AY104" s="47">
        <v>0</v>
      </c>
      <c r="AZ104" s="47">
        <v>0</v>
      </c>
      <c r="BA104" s="47">
        <v>0</v>
      </c>
      <c r="BB104" s="47">
        <v>0</v>
      </c>
      <c r="BC104" s="47">
        <v>0</v>
      </c>
      <c r="BD104" s="47">
        <v>0</v>
      </c>
      <c r="BE104" s="47">
        <v>0</v>
      </c>
      <c r="BF104" s="47">
        <v>0</v>
      </c>
      <c r="BG104" s="47">
        <v>0</v>
      </c>
      <c r="BH104" s="47">
        <v>0</v>
      </c>
      <c r="BI104" s="47">
        <v>0</v>
      </c>
      <c r="BJ104" s="47">
        <v>0</v>
      </c>
      <c r="BK104" s="47">
        <v>0</v>
      </c>
      <c r="BL104" s="47">
        <v>0</v>
      </c>
      <c r="BM104" s="47">
        <v>0</v>
      </c>
      <c r="BN104" s="47">
        <f t="shared" si="2"/>
        <v>46872</v>
      </c>
      <c r="BO104" s="47"/>
      <c r="BP104" s="201" t="s">
        <v>275</v>
      </c>
      <c r="BQ104" s="35" t="s">
        <v>42</v>
      </c>
      <c r="BR104" s="34" t="s">
        <v>42</v>
      </c>
      <c r="BS104" s="34" t="s">
        <v>42</v>
      </c>
      <c r="BT104" s="34" t="s">
        <v>42</v>
      </c>
      <c r="BU104" s="84">
        <v>52</v>
      </c>
      <c r="BV104" s="194"/>
      <c r="BW104" s="67"/>
      <c r="BX104" s="68" t="s">
        <v>156</v>
      </c>
      <c r="BY104" s="155" t="s">
        <v>42</v>
      </c>
      <c r="BZ104" s="34" t="s">
        <v>190</v>
      </c>
    </row>
    <row r="105" spans="1:78" s="2" customFormat="1" ht="63" customHeight="1" outlineLevel="1" x14ac:dyDescent="0.25">
      <c r="A105" s="34">
        <v>101</v>
      </c>
      <c r="B105" s="82">
        <v>53</v>
      </c>
      <c r="C105" s="78">
        <v>254901</v>
      </c>
      <c r="D105" s="78">
        <v>1261932</v>
      </c>
      <c r="E105" s="85" t="s">
        <v>474</v>
      </c>
      <c r="F105" s="36">
        <v>46268</v>
      </c>
      <c r="G105" s="36">
        <v>46268</v>
      </c>
      <c r="H105" s="78" t="s">
        <v>42</v>
      </c>
      <c r="I105" s="78" t="s">
        <v>276</v>
      </c>
      <c r="J105" s="36" t="s">
        <v>42</v>
      </c>
      <c r="K105" s="36" t="s">
        <v>42</v>
      </c>
      <c r="L105" s="36">
        <v>46449</v>
      </c>
      <c r="M105" s="36">
        <f t="shared" ca="1" si="106"/>
        <v>46277</v>
      </c>
      <c r="N105" s="36" t="s">
        <v>262</v>
      </c>
      <c r="O105" s="169"/>
      <c r="P105" s="77" t="s">
        <v>280</v>
      </c>
      <c r="Q105" s="66">
        <f t="shared" ca="1" si="64"/>
        <v>9</v>
      </c>
      <c r="R105" s="160" t="s">
        <v>260</v>
      </c>
      <c r="S105" s="136" t="s">
        <v>42</v>
      </c>
      <c r="T105" s="35" t="s">
        <v>42</v>
      </c>
      <c r="U105" s="38" t="s">
        <v>475</v>
      </c>
      <c r="V105" s="34" t="s">
        <v>476</v>
      </c>
      <c r="W105" s="40" t="s">
        <v>451</v>
      </c>
      <c r="X105" s="47">
        <v>640</v>
      </c>
      <c r="Y105" s="47">
        <v>0</v>
      </c>
      <c r="Z105" s="76">
        <v>0</v>
      </c>
      <c r="AA105" s="47">
        <v>0</v>
      </c>
      <c r="AB105" s="47">
        <v>0</v>
      </c>
      <c r="AC105" s="47">
        <v>0</v>
      </c>
      <c r="AD105" s="47">
        <v>1</v>
      </c>
      <c r="AE105" s="47">
        <v>0</v>
      </c>
      <c r="AF105" s="47">
        <v>1</v>
      </c>
      <c r="AG105" s="47"/>
      <c r="AH105" s="47">
        <v>1</v>
      </c>
      <c r="AI105" s="47"/>
      <c r="AJ105" s="47">
        <v>0</v>
      </c>
      <c r="AK105" s="47">
        <v>0</v>
      </c>
      <c r="AL105" s="47">
        <v>2</v>
      </c>
      <c r="AM105" s="47"/>
      <c r="AN105" s="47">
        <v>2</v>
      </c>
      <c r="AO105" s="47"/>
      <c r="AP105" s="47">
        <v>8</v>
      </c>
      <c r="AQ105" s="47"/>
      <c r="AR105" s="47">
        <v>6</v>
      </c>
      <c r="AS105" s="47"/>
      <c r="AT105" s="47">
        <v>5</v>
      </c>
      <c r="AU105" s="47"/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f t="shared" si="2"/>
        <v>44860</v>
      </c>
      <c r="BO105" s="47"/>
      <c r="BP105" s="201" t="s">
        <v>275</v>
      </c>
      <c r="BQ105" s="35" t="s">
        <v>42</v>
      </c>
      <c r="BR105" s="34" t="s">
        <v>42</v>
      </c>
      <c r="BS105" s="34" t="s">
        <v>42</v>
      </c>
      <c r="BT105" s="34" t="s">
        <v>42</v>
      </c>
      <c r="BU105" s="84">
        <v>53</v>
      </c>
      <c r="BV105" s="194"/>
      <c r="BW105" s="67"/>
      <c r="BX105" s="68" t="s">
        <v>156</v>
      </c>
      <c r="BY105" s="155" t="s">
        <v>42</v>
      </c>
      <c r="BZ105" s="34" t="s">
        <v>190</v>
      </c>
    </row>
    <row r="106" spans="1:78" s="2" customFormat="1" ht="63" customHeight="1" outlineLevel="1" x14ac:dyDescent="0.25">
      <c r="A106" s="34"/>
      <c r="B106" s="82"/>
      <c r="C106" s="78"/>
      <c r="D106" s="78"/>
      <c r="E106" s="85"/>
      <c r="F106" s="36"/>
      <c r="G106" s="36"/>
      <c r="H106" s="78"/>
      <c r="I106" s="78"/>
      <c r="J106" s="36"/>
      <c r="K106" s="36"/>
      <c r="L106" s="36"/>
      <c r="M106" s="36"/>
      <c r="N106" s="36"/>
      <c r="O106" s="169"/>
      <c r="P106" s="77"/>
      <c r="Q106" s="66"/>
      <c r="R106" s="160"/>
      <c r="S106" s="136"/>
      <c r="T106" s="35"/>
      <c r="U106" s="38"/>
      <c r="V106" s="34"/>
      <c r="W106" s="40"/>
      <c r="X106" s="47"/>
      <c r="Y106" s="47"/>
      <c r="Z106" s="76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201"/>
      <c r="BQ106" s="35"/>
      <c r="BR106" s="34"/>
      <c r="BS106" s="34"/>
      <c r="BT106" s="34"/>
      <c r="BU106" s="84"/>
      <c r="BV106" s="194"/>
      <c r="BW106" s="67"/>
      <c r="BX106" s="68"/>
      <c r="BY106" s="155"/>
      <c r="BZ106" s="34"/>
    </row>
    <row r="107" spans="1:78" s="2" customFormat="1" ht="63" customHeight="1" outlineLevel="1" x14ac:dyDescent="0.25">
      <c r="A107" s="34"/>
      <c r="B107" s="82"/>
      <c r="C107" s="78"/>
      <c r="D107" s="78"/>
      <c r="E107" s="85"/>
      <c r="F107" s="36"/>
      <c r="G107" s="36"/>
      <c r="H107" s="78"/>
      <c r="I107" s="78"/>
      <c r="J107" s="36"/>
      <c r="K107" s="36"/>
      <c r="L107" s="36"/>
      <c r="M107" s="36"/>
      <c r="N107" s="36"/>
      <c r="O107" s="169"/>
      <c r="P107" s="77"/>
      <c r="Q107" s="66"/>
      <c r="R107" s="160"/>
      <c r="S107" s="136"/>
      <c r="T107" s="35"/>
      <c r="U107" s="38"/>
      <c r="V107" s="34"/>
      <c r="W107" s="40"/>
      <c r="X107" s="47"/>
      <c r="Y107" s="47"/>
      <c r="Z107" s="76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201"/>
      <c r="BQ107" s="35"/>
      <c r="BR107" s="34"/>
      <c r="BS107" s="34"/>
      <c r="BT107" s="34"/>
      <c r="BU107" s="84"/>
      <c r="BV107" s="194"/>
      <c r="BW107" s="67"/>
      <c r="BX107" s="68"/>
      <c r="BY107" s="155"/>
      <c r="BZ107" s="34"/>
    </row>
    <row r="108" spans="1:78" s="2" customFormat="1" ht="63" customHeight="1" outlineLevel="1" x14ac:dyDescent="0.25">
      <c r="A108" s="34"/>
      <c r="B108" s="82"/>
      <c r="C108" s="78"/>
      <c r="D108" s="78"/>
      <c r="E108" s="85"/>
      <c r="F108" s="36"/>
      <c r="G108" s="36"/>
      <c r="H108" s="78"/>
      <c r="I108" s="78"/>
      <c r="J108" s="36"/>
      <c r="K108" s="36"/>
      <c r="L108" s="36"/>
      <c r="M108" s="36"/>
      <c r="N108" s="36"/>
      <c r="O108" s="169"/>
      <c r="P108" s="77"/>
      <c r="Q108" s="66"/>
      <c r="R108" s="160"/>
      <c r="S108" s="136"/>
      <c r="T108" s="35"/>
      <c r="U108" s="38"/>
      <c r="V108" s="34"/>
      <c r="W108" s="40"/>
      <c r="X108" s="47"/>
      <c r="Y108" s="47"/>
      <c r="Z108" s="76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201"/>
      <c r="BQ108" s="35"/>
      <c r="BR108" s="34"/>
      <c r="BS108" s="34"/>
      <c r="BT108" s="34"/>
      <c r="BU108" s="84"/>
      <c r="BV108" s="194"/>
      <c r="BW108" s="67"/>
      <c r="BX108" s="68"/>
      <c r="BY108" s="155"/>
      <c r="BZ108" s="34"/>
    </row>
    <row r="109" spans="1:78" s="2" customFormat="1" ht="49.9" customHeight="1" outlineLevel="1" x14ac:dyDescent="0.25">
      <c r="A109" s="34"/>
      <c r="B109" s="82"/>
      <c r="C109" s="78"/>
      <c r="D109" s="78"/>
      <c r="E109" s="85"/>
      <c r="F109" s="36"/>
      <c r="G109" s="36"/>
      <c r="H109" s="78"/>
      <c r="I109" s="78"/>
      <c r="J109" s="36"/>
      <c r="K109" s="36"/>
      <c r="L109" s="36"/>
      <c r="M109" s="36"/>
      <c r="N109" s="36"/>
      <c r="O109" s="169"/>
      <c r="P109" s="207"/>
      <c r="Q109" s="66"/>
      <c r="R109" s="160"/>
      <c r="S109" s="72"/>
      <c r="T109" s="35"/>
      <c r="U109" s="38"/>
      <c r="V109" s="34"/>
      <c r="W109" s="40"/>
      <c r="X109" s="47"/>
      <c r="Y109" s="47"/>
      <c r="Z109" s="76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>
        <f t="shared" si="60"/>
        <v>0</v>
      </c>
      <c r="BP109" s="72"/>
      <c r="BQ109" s="34"/>
      <c r="BR109" s="34"/>
      <c r="BS109" s="34"/>
      <c r="BT109" s="34"/>
      <c r="BU109" s="84"/>
      <c r="BV109" s="194"/>
      <c r="BW109" s="67"/>
      <c r="BX109" s="68"/>
      <c r="BY109" s="156"/>
      <c r="BZ109" s="34"/>
    </row>
    <row r="110" spans="1:78" s="2" customFormat="1" ht="93" customHeight="1" x14ac:dyDescent="0.25">
      <c r="A110" s="69"/>
      <c r="B110" s="51"/>
      <c r="C110" s="52"/>
      <c r="D110" s="52"/>
      <c r="E110" s="53"/>
      <c r="F110" s="54"/>
      <c r="G110" s="54"/>
      <c r="H110" s="52"/>
      <c r="I110" s="52"/>
      <c r="J110" s="54"/>
      <c r="K110" s="54"/>
      <c r="L110" s="54"/>
      <c r="M110" s="54"/>
      <c r="N110" s="54"/>
      <c r="O110" s="170"/>
      <c r="P110" s="53"/>
      <c r="Q110" s="55"/>
      <c r="R110" s="55"/>
      <c r="S110" s="56"/>
      <c r="T110" s="57"/>
      <c r="U110" s="59"/>
      <c r="V110" s="58"/>
      <c r="W110" s="166"/>
      <c r="X110" s="70">
        <f>SUBTOTAL(9,X5:X109)</f>
        <v>62432.91</v>
      </c>
      <c r="Y110" s="70">
        <f>SUBTOTAL(9,Y5:Y109)</f>
        <v>25350.909999999996</v>
      </c>
      <c r="Z110" s="70">
        <f t="shared" ref="Z110:BM110" si="115">SUBTOTAL(9,Z5:Z109)</f>
        <v>3243.1</v>
      </c>
      <c r="AA110" s="70">
        <f t="shared" si="115"/>
        <v>2029.1000000000001</v>
      </c>
      <c r="AB110" s="70">
        <f t="shared" si="115"/>
        <v>5</v>
      </c>
      <c r="AC110" s="70">
        <f t="shared" si="115"/>
        <v>0</v>
      </c>
      <c r="AD110" s="70">
        <f>SUBTOTAL(9,AD5:AD109)</f>
        <v>12252</v>
      </c>
      <c r="AE110" s="70">
        <f t="shared" si="115"/>
        <v>7725</v>
      </c>
      <c r="AF110" s="70">
        <f t="shared" si="115"/>
        <v>5488</v>
      </c>
      <c r="AG110" s="70">
        <f t="shared" si="115"/>
        <v>960</v>
      </c>
      <c r="AH110" s="70">
        <f t="shared" si="115"/>
        <v>7392</v>
      </c>
      <c r="AI110" s="70">
        <f t="shared" si="115"/>
        <v>6884</v>
      </c>
      <c r="AJ110" s="70">
        <f t="shared" si="115"/>
        <v>2161</v>
      </c>
      <c r="AK110" s="70">
        <f t="shared" si="115"/>
        <v>1683</v>
      </c>
      <c r="AL110" s="70">
        <f t="shared" si="115"/>
        <v>38</v>
      </c>
      <c r="AM110" s="70">
        <f t="shared" si="115"/>
        <v>16</v>
      </c>
      <c r="AN110" s="70">
        <f t="shared" si="115"/>
        <v>130</v>
      </c>
      <c r="AO110" s="70">
        <f t="shared" si="115"/>
        <v>114</v>
      </c>
      <c r="AP110" s="70">
        <f t="shared" si="115"/>
        <v>554</v>
      </c>
      <c r="AQ110" s="70">
        <f t="shared" si="115"/>
        <v>239</v>
      </c>
      <c r="AR110" s="70">
        <f t="shared" si="115"/>
        <v>449</v>
      </c>
      <c r="AS110" s="70">
        <f t="shared" si="115"/>
        <v>173</v>
      </c>
      <c r="AT110" s="70">
        <f t="shared" si="115"/>
        <v>225</v>
      </c>
      <c r="AU110" s="70">
        <f t="shared" si="115"/>
        <v>72</v>
      </c>
      <c r="AV110" s="70">
        <f t="shared" si="115"/>
        <v>6002</v>
      </c>
      <c r="AW110" s="70">
        <f t="shared" si="115"/>
        <v>5152</v>
      </c>
      <c r="AX110" s="70">
        <f t="shared" si="115"/>
        <v>6980</v>
      </c>
      <c r="AY110" s="70">
        <f t="shared" si="115"/>
        <v>80</v>
      </c>
      <c r="AZ110" s="70">
        <f t="shared" si="115"/>
        <v>1</v>
      </c>
      <c r="BA110" s="70">
        <f t="shared" si="115"/>
        <v>0</v>
      </c>
      <c r="BB110" s="70">
        <f t="shared" si="115"/>
        <v>6</v>
      </c>
      <c r="BC110" s="70">
        <f t="shared" si="115"/>
        <v>0</v>
      </c>
      <c r="BD110" s="70">
        <f t="shared" si="115"/>
        <v>8</v>
      </c>
      <c r="BE110" s="70">
        <f t="shared" si="115"/>
        <v>2</v>
      </c>
      <c r="BF110" s="70">
        <f t="shared" si="115"/>
        <v>1</v>
      </c>
      <c r="BG110" s="70">
        <f t="shared" si="115"/>
        <v>0</v>
      </c>
      <c r="BH110" s="70">
        <f t="shared" si="115"/>
        <v>0</v>
      </c>
      <c r="BI110" s="70">
        <f t="shared" si="115"/>
        <v>0</v>
      </c>
      <c r="BJ110" s="70">
        <f t="shared" si="115"/>
        <v>3</v>
      </c>
      <c r="BK110" s="70">
        <f t="shared" si="115"/>
        <v>2</v>
      </c>
      <c r="BL110" s="70">
        <f t="shared" si="115"/>
        <v>8</v>
      </c>
      <c r="BM110" s="70">
        <f t="shared" si="115"/>
        <v>2</v>
      </c>
      <c r="BN110" s="70">
        <f>SUBTOTAL(9,BN5:BN109)</f>
        <v>7550386.9300000016</v>
      </c>
      <c r="BO110" s="70">
        <f>SUBTOTAL(9,BO5:BO109)</f>
        <v>4215447.93</v>
      </c>
      <c r="BP110" s="56"/>
      <c r="BQ110" s="56"/>
      <c r="BR110" s="56"/>
      <c r="BS110" s="56"/>
      <c r="BT110" s="58"/>
      <c r="BU110" s="60"/>
      <c r="BV110" s="196"/>
      <c r="BW110" s="70">
        <f>SUBTOTAL(9,BW5:BW109)</f>
        <v>1851418.7099999997</v>
      </c>
      <c r="BX110" s="70"/>
      <c r="BY110" s="157"/>
      <c r="BZ110" s="199"/>
    </row>
    <row r="113" spans="12:67" x14ac:dyDescent="0.3">
      <c r="Y113" s="19"/>
    </row>
    <row r="115" spans="12:67" outlineLevel="1" x14ac:dyDescent="0.3">
      <c r="L115" s="71"/>
    </row>
    <row r="116" spans="12:67" outlineLevel="1" x14ac:dyDescent="0.35">
      <c r="BO116" s="198"/>
    </row>
    <row r="117" spans="12:67" outlineLevel="1" x14ac:dyDescent="0.3"/>
    <row r="118" spans="12:67" outlineLevel="1" x14ac:dyDescent="0.3"/>
    <row r="119" spans="12:67" ht="31.5" outlineLevel="2" x14ac:dyDescent="0.5">
      <c r="AB119" s="74"/>
    </row>
    <row r="120" spans="12:67" outlineLevel="1" x14ac:dyDescent="0.3">
      <c r="BO120" s="9">
        <f>BO117-BO115</f>
        <v>0</v>
      </c>
    </row>
    <row r="121" spans="12:67" outlineLevel="1" x14ac:dyDescent="0.3"/>
    <row r="122" spans="12:67" ht="31.5" outlineLevel="1" x14ac:dyDescent="0.5">
      <c r="AB122" s="74"/>
    </row>
    <row r="123" spans="12:67" outlineLevel="1" x14ac:dyDescent="0.3"/>
    <row r="124" spans="12:67" outlineLevel="1" x14ac:dyDescent="0.3"/>
    <row r="125" spans="12:67" ht="28.5" x14ac:dyDescent="0.45">
      <c r="AB125" s="73">
        <f>AB119-AB122</f>
        <v>0</v>
      </c>
    </row>
    <row r="132" spans="24:24" x14ac:dyDescent="0.3">
      <c r="X132">
        <f>X129/60</f>
        <v>0</v>
      </c>
    </row>
  </sheetData>
  <autoFilter ref="A2:BZ109" xr:uid="{5B139460-0E5C-49CB-9359-B2705A6D671C}"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  <filterColumn colId="65" showButton="0"/>
  </autoFilter>
  <dataConsolidate/>
  <mergeCells count="80">
    <mergeCell ref="B2:B4"/>
    <mergeCell ref="S2:S4"/>
    <mergeCell ref="P2:P4"/>
    <mergeCell ref="D2:D4"/>
    <mergeCell ref="G2:G4"/>
    <mergeCell ref="F2:F4"/>
    <mergeCell ref="H2:H4"/>
    <mergeCell ref="I2:I4"/>
    <mergeCell ref="E2:E4"/>
    <mergeCell ref="J2:J4"/>
    <mergeCell ref="L2:L4"/>
    <mergeCell ref="Q2:Q4"/>
    <mergeCell ref="N2:N4"/>
    <mergeCell ref="AL2:AM2"/>
    <mergeCell ref="AT3:AU3"/>
    <mergeCell ref="AD2:AE2"/>
    <mergeCell ref="AV2:AW2"/>
    <mergeCell ref="AV3:AW3"/>
    <mergeCell ref="AN2:AO2"/>
    <mergeCell ref="AP2:AQ2"/>
    <mergeCell ref="AN3:AO3"/>
    <mergeCell ref="AP3:AQ3"/>
    <mergeCell ref="AT2:AU2"/>
    <mergeCell ref="AR2:AS2"/>
    <mergeCell ref="AR3:AS3"/>
    <mergeCell ref="AL3:AM3"/>
    <mergeCell ref="Z2:AA2"/>
    <mergeCell ref="Z3:AA3"/>
    <mergeCell ref="AH3:AI3"/>
    <mergeCell ref="AB2:AC2"/>
    <mergeCell ref="T2:T4"/>
    <mergeCell ref="AF2:AG2"/>
    <mergeCell ref="AF3:AG3"/>
    <mergeCell ref="AH2:AI2"/>
    <mergeCell ref="U2:U4"/>
    <mergeCell ref="AD3:AE3"/>
    <mergeCell ref="V2:V4"/>
    <mergeCell ref="AB3:AC3"/>
    <mergeCell ref="X2:Y2"/>
    <mergeCell ref="X3:Y3"/>
    <mergeCell ref="W2:W4"/>
    <mergeCell ref="BV2:BV4"/>
    <mergeCell ref="BS2:BS4"/>
    <mergeCell ref="O2:O4"/>
    <mergeCell ref="R2:R4"/>
    <mergeCell ref="M2:M4"/>
    <mergeCell ref="BH2:BI2"/>
    <mergeCell ref="BH3:BI3"/>
    <mergeCell ref="AJ2:AK2"/>
    <mergeCell ref="AJ3:AK3"/>
    <mergeCell ref="BD2:BE2"/>
    <mergeCell ref="BD3:BE3"/>
    <mergeCell ref="BF2:BG2"/>
    <mergeCell ref="BF3:BG3"/>
    <mergeCell ref="AX2:AY2"/>
    <mergeCell ref="AX3:AY3"/>
    <mergeCell ref="AZ3:BA3"/>
    <mergeCell ref="BQ2:BQ4"/>
    <mergeCell ref="BP2:BP4"/>
    <mergeCell ref="A1:BZ1"/>
    <mergeCell ref="K2:K4"/>
    <mergeCell ref="BZ2:BZ4"/>
    <mergeCell ref="BX2:BX4"/>
    <mergeCell ref="BR2:BR4"/>
    <mergeCell ref="BW2:BW4"/>
    <mergeCell ref="BT2:BT4"/>
    <mergeCell ref="BY2:BY4"/>
    <mergeCell ref="BU2:BU4"/>
    <mergeCell ref="A2:A4"/>
    <mergeCell ref="BO3:BO4"/>
    <mergeCell ref="BN3:BN4"/>
    <mergeCell ref="BN2:BO2"/>
    <mergeCell ref="C2:C4"/>
    <mergeCell ref="AZ2:BA2"/>
    <mergeCell ref="BJ2:BK2"/>
    <mergeCell ref="BJ3:BK3"/>
    <mergeCell ref="BL2:BM2"/>
    <mergeCell ref="BL3:BM3"/>
    <mergeCell ref="BB2:BC2"/>
    <mergeCell ref="BB3:BC3"/>
  </mergeCells>
  <phoneticPr fontId="6" type="noConversion"/>
  <conditionalFormatting sqref="B19">
    <cfRule type="duplicateValues" dxfId="76" priority="5"/>
    <cfRule type="duplicateValues" dxfId="75" priority="6"/>
    <cfRule type="duplicateValues" dxfId="74" priority="7"/>
    <cfRule type="duplicateValues" dxfId="73" priority="8"/>
  </conditionalFormatting>
  <conditionalFormatting sqref="B22 B27:B28">
    <cfRule type="duplicateValues" dxfId="72" priority="6081"/>
    <cfRule type="duplicateValues" dxfId="71" priority="6080"/>
    <cfRule type="duplicateValues" dxfId="70" priority="6079"/>
    <cfRule type="duplicateValues" dxfId="69" priority="6078"/>
  </conditionalFormatting>
  <conditionalFormatting sqref="B37">
    <cfRule type="duplicateValues" dxfId="68" priority="43"/>
    <cfRule type="duplicateValues" dxfId="67" priority="46"/>
    <cfRule type="duplicateValues" dxfId="66" priority="45"/>
    <cfRule type="duplicateValues" dxfId="65" priority="44"/>
  </conditionalFormatting>
  <conditionalFormatting sqref="B38">
    <cfRule type="duplicateValues" dxfId="64" priority="2"/>
    <cfRule type="duplicateValues" dxfId="63" priority="3"/>
    <cfRule type="duplicateValues" dxfId="62" priority="4"/>
    <cfRule type="duplicateValues" dxfId="61" priority="1"/>
  </conditionalFormatting>
  <conditionalFormatting sqref="B40">
    <cfRule type="duplicateValues" dxfId="60" priority="67"/>
    <cfRule type="duplicateValues" dxfId="59" priority="68"/>
    <cfRule type="duplicateValues" dxfId="58" priority="69"/>
    <cfRule type="duplicateValues" dxfId="57" priority="70"/>
  </conditionalFormatting>
  <conditionalFormatting sqref="B43">
    <cfRule type="duplicateValues" dxfId="56" priority="1280"/>
    <cfRule type="duplicateValues" dxfId="55" priority="1281"/>
    <cfRule type="duplicateValues" dxfId="54" priority="1278"/>
    <cfRule type="duplicateValues" dxfId="53" priority="1279"/>
  </conditionalFormatting>
  <conditionalFormatting sqref="B47">
    <cfRule type="duplicateValues" dxfId="52" priority="1066"/>
    <cfRule type="duplicateValues" dxfId="51" priority="1067"/>
    <cfRule type="duplicateValues" dxfId="50" priority="1068"/>
    <cfRule type="duplicateValues" dxfId="49" priority="1069"/>
  </conditionalFormatting>
  <conditionalFormatting sqref="B49:B50">
    <cfRule type="duplicateValues" dxfId="48" priority="152"/>
    <cfRule type="duplicateValues" dxfId="47" priority="150"/>
    <cfRule type="duplicateValues" dxfId="46" priority="149"/>
    <cfRule type="duplicateValues" dxfId="45" priority="151"/>
  </conditionalFormatting>
  <conditionalFormatting sqref="B55">
    <cfRule type="duplicateValues" dxfId="44" priority="121"/>
    <cfRule type="duplicateValues" dxfId="43" priority="122"/>
    <cfRule type="duplicateValues" dxfId="42" priority="119"/>
    <cfRule type="duplicateValues" dxfId="41" priority="120"/>
  </conditionalFormatting>
  <conditionalFormatting sqref="B61">
    <cfRule type="duplicateValues" dxfId="40" priority="9"/>
    <cfRule type="duplicateValues" dxfId="39" priority="10"/>
    <cfRule type="duplicateValues" dxfId="38" priority="11"/>
    <cfRule type="duplicateValues" dxfId="37" priority="12"/>
  </conditionalFormatting>
  <conditionalFormatting sqref="B70:B72">
    <cfRule type="duplicateValues" dxfId="36" priority="105"/>
    <cfRule type="duplicateValues" dxfId="35" priority="106"/>
    <cfRule type="duplicateValues" dxfId="34" priority="103"/>
    <cfRule type="duplicateValues" dxfId="33" priority="104"/>
  </conditionalFormatting>
  <conditionalFormatting sqref="B74:B78">
    <cfRule type="duplicateValues" dxfId="32" priority="30"/>
    <cfRule type="duplicateValues" dxfId="31" priority="29"/>
    <cfRule type="duplicateValues" dxfId="30" priority="28"/>
    <cfRule type="duplicateValues" dxfId="29" priority="27"/>
  </conditionalFormatting>
  <conditionalFormatting sqref="B86:B87">
    <cfRule type="duplicateValues" dxfId="28" priority="25"/>
    <cfRule type="duplicateValues" dxfId="27" priority="24"/>
    <cfRule type="duplicateValues" dxfId="26" priority="23"/>
    <cfRule type="duplicateValues" dxfId="25" priority="22"/>
  </conditionalFormatting>
  <conditionalFormatting sqref="B96">
    <cfRule type="duplicateValues" dxfId="24" priority="6639"/>
    <cfRule type="duplicateValues" dxfId="23" priority="6636"/>
    <cfRule type="duplicateValues" dxfId="22" priority="6637"/>
    <cfRule type="duplicateValues" dxfId="21" priority="6638"/>
  </conditionalFormatting>
  <conditionalFormatting sqref="B100 B82:B85 B103:B108 B88:B95">
    <cfRule type="duplicateValues" dxfId="20" priority="133"/>
    <cfRule type="duplicateValues" dxfId="19" priority="132"/>
    <cfRule type="duplicateValues" dxfId="18" priority="131"/>
    <cfRule type="duplicateValues" dxfId="17" priority="130"/>
  </conditionalFormatting>
  <conditionalFormatting sqref="B109:B1048576">
    <cfRule type="duplicateValues" dxfId="16" priority="6612"/>
    <cfRule type="duplicateValues" dxfId="15" priority="6613"/>
    <cfRule type="duplicateValues" dxfId="14" priority="6614"/>
    <cfRule type="duplicateValues" dxfId="13" priority="6615"/>
  </conditionalFormatting>
  <conditionalFormatting sqref="H2">
    <cfRule type="duplicateValues" dxfId="12" priority="140"/>
  </conditionalFormatting>
  <conditionalFormatting sqref="I2">
    <cfRule type="duplicateValues" dxfId="11" priority="139"/>
  </conditionalFormatting>
  <conditionalFormatting sqref="P2:Q2 J2:M2 E2:G2 A2:C2 S2:W2">
    <cfRule type="duplicateValues" dxfId="10" priority="6627"/>
  </conditionalFormatting>
  <conditionalFormatting sqref="R2">
    <cfRule type="duplicateValues" dxfId="9" priority="127"/>
  </conditionalFormatting>
  <conditionalFormatting sqref="T109">
    <cfRule type="containsText" dxfId="8" priority="129" operator="containsText" text="PENDING">
      <formula>NOT(ISERROR(SEARCH("PENDING",T109)))</formula>
    </cfRule>
  </conditionalFormatting>
  <conditionalFormatting sqref="T110">
    <cfRule type="duplicateValues" dxfId="7" priority="6618"/>
  </conditionalFormatting>
  <conditionalFormatting sqref="U110:U1048576">
    <cfRule type="duplicateValues" dxfId="6" priority="5895"/>
    <cfRule type="duplicateValues" dxfId="5" priority="5892"/>
  </conditionalFormatting>
  <conditionalFormatting sqref="BN2">
    <cfRule type="duplicateValues" dxfId="4" priority="6369"/>
  </conditionalFormatting>
  <conditionalFormatting sqref="BU47:BV47">
    <cfRule type="containsText" dxfId="3" priority="1064" operator="containsText" text="PENDING">
      <formula>NOT(ISERROR(SEARCH("PENDING",BU47)))</formula>
    </cfRule>
  </conditionalFormatting>
  <conditionalFormatting sqref="BU74:BV78">
    <cfRule type="containsText" dxfId="2" priority="26" operator="containsText" text="PENDING">
      <formula>NOT(ISERROR(SEARCH("PENDING",BU74)))</formula>
    </cfRule>
  </conditionalFormatting>
  <conditionalFormatting sqref="BU82:BV95 S110">
    <cfRule type="containsText" dxfId="1" priority="1084" operator="containsText" text="PENDING">
      <formula>NOT(ISERROR(SEARCH("PENDING",S82)))</formula>
    </cfRule>
  </conditionalFormatting>
  <conditionalFormatting sqref="BU100:BV100 BU103:BV109">
    <cfRule type="containsText" dxfId="0" priority="128" operator="containsText" text="PENDING">
      <formula>NOT(ISERROR(SEARCH("PENDING",BU100)))</formula>
    </cfRule>
  </conditionalFormatting>
  <pageMargins left="0.7" right="0.7" top="0.75" bottom="0.75" header="0.3" footer="0.3"/>
  <pageSetup paperSize="9" scale="10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72C28218-D5DC-411E-A6B7-297D58725E93}">
          <x14:formula1>
            <xm:f>lists!$B$4:$B$287</xm:f>
          </x14:formula1>
          <xm:sqref>I1:I1048576</xm:sqref>
        </x14:dataValidation>
        <x14:dataValidation type="list" allowBlank="1" showInputMessage="1" showErrorMessage="1" xr:uid="{7E3D2431-2987-4A86-852F-8988B22C06E0}">
          <x14:formula1>
            <xm:f>lists!$C$4:$C$12</xm:f>
          </x14:formula1>
          <xm:sqref>N5:N1048576</xm:sqref>
        </x14:dataValidation>
        <x14:dataValidation type="list" allowBlank="1" showInputMessage="1" showErrorMessage="1" xr:uid="{96212836-75CE-410E-9DF3-646FF09A7BE7}">
          <x14:formula1>
            <xm:f>lists!$D$4:$D$13</xm:f>
          </x14:formula1>
          <xm:sqref>P1:P1048576</xm:sqref>
        </x14:dataValidation>
        <x14:dataValidation type="list" allowBlank="1" showInputMessage="1" showErrorMessage="1" xr:uid="{B8B91785-E54B-4232-BF2D-E899DA97BC4B}">
          <x14:formula1>
            <xm:f>lists!$E$4:$E$11</xm:f>
          </x14:formula1>
          <xm:sqref>R1:R1048576</xm:sqref>
        </x14:dataValidation>
        <x14:dataValidation type="list" allowBlank="1" showInputMessage="1" showErrorMessage="1" xr:uid="{181D7415-2BF9-4D02-AF9E-C75C81E3D84C}">
          <x14:formula1>
            <xm:f>lists!$F$4:$F$11</xm:f>
          </x14:formula1>
          <xm:sqref>S1:S1048576</xm:sqref>
        </x14:dataValidation>
        <x14:dataValidation type="list" allowBlank="1" showInputMessage="1" showErrorMessage="1" xr:uid="{D38735CD-E6B6-4F03-BF3F-1919BF266092}">
          <x14:formula1>
            <xm:f>lists!$G$4:$G$7</xm:f>
          </x14:formula1>
          <xm:sqref>T1:T1048576</xm:sqref>
        </x14:dataValidation>
        <x14:dataValidation type="list" allowBlank="1" showInputMessage="1" showErrorMessage="1" xr:uid="{BC32E71C-01C8-4B0F-8B74-82A0C71FCC34}">
          <x14:formula1>
            <xm:f>lists!$J$4:$J$9</xm:f>
          </x14:formula1>
          <xm:sqref>BP1:BP1048576</xm:sqref>
        </x14:dataValidation>
        <x14:dataValidation type="list" allowBlank="1" showInputMessage="1" showErrorMessage="1" xr:uid="{85CD5F2E-BE6C-4B7E-9D4C-939A1632CFAA}">
          <x14:formula1>
            <xm:f>lists!$K$4:$K$8</xm:f>
          </x14:formula1>
          <xm:sqref>BQ1:BQ1048576</xm:sqref>
        </x14:dataValidation>
        <x14:dataValidation type="list" allowBlank="1" showInputMessage="1" showErrorMessage="1" xr:uid="{EF2978AD-1545-4D7E-9018-46C4FC1FA0F1}">
          <x14:formula1>
            <xm:f>lists!$L$4:$L$34</xm:f>
          </x14:formula1>
          <xm:sqref>BR1:BR1048576</xm:sqref>
        </x14:dataValidation>
        <x14:dataValidation type="list" allowBlank="1" showInputMessage="1" showErrorMessage="1" xr:uid="{691138EA-3D9C-4128-852D-200D653A3936}">
          <x14:formula1>
            <xm:f>lists!$M$4:$M$7</xm:f>
          </x14:formula1>
          <xm:sqref>BS1:BS1048576</xm:sqref>
        </x14:dataValidation>
        <x14:dataValidation type="list" allowBlank="1" showInputMessage="1" showErrorMessage="1" xr:uid="{F9886247-CBF7-4E23-8444-EAC346F9A37B}">
          <x14:formula1>
            <xm:f>lists!$N$4:$N$10</xm:f>
          </x14:formula1>
          <xm:sqref>BY1:BY1048576</xm:sqref>
        </x14:dataValidation>
        <x14:dataValidation type="list" allowBlank="1" showInputMessage="1" showErrorMessage="1" xr:uid="{8524039B-45F7-4CD5-BBB6-CC74C3F9F468}">
          <x14:formula1>
            <xm:f>lists!$O$4:$O$16</xm:f>
          </x14:formula1>
          <xm:sqref>BZ1:BZ1048576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8ACE-F805-4C19-A898-2313B9695BCA}">
  <sheetPr>
    <pageSetUpPr fitToPage="1"/>
  </sheetPr>
  <dimension ref="A1:I35"/>
  <sheetViews>
    <sheetView topLeftCell="A14" zoomScale="70" zoomScaleNormal="70" zoomScaleSheetLayoutView="100" workbookViewId="0">
      <selection activeCell="C20" sqref="C20"/>
    </sheetView>
  </sheetViews>
  <sheetFormatPr defaultColWidth="8.5703125" defaultRowHeight="15" x14ac:dyDescent="0.25"/>
  <cols>
    <col min="1" max="1" width="51.42578125" customWidth="1"/>
    <col min="2" max="2" width="31.5703125" customWidth="1"/>
    <col min="3" max="3" width="29.5703125" customWidth="1"/>
    <col min="4" max="4" width="33.5703125" customWidth="1"/>
    <col min="5" max="5" width="20.140625" customWidth="1"/>
    <col min="6" max="6" width="32.5703125" bestFit="1" customWidth="1"/>
    <col min="7" max="7" width="42.5703125" customWidth="1"/>
    <col min="8" max="8" width="18.5703125" customWidth="1"/>
    <col min="9" max="9" width="15.5703125" bestFit="1" customWidth="1"/>
  </cols>
  <sheetData>
    <row r="1" spans="1:9" ht="15.75" thickBot="1" x14ac:dyDescent="0.3"/>
    <row r="2" spans="1:9" ht="35.1" customHeight="1" thickBot="1" x14ac:dyDescent="0.3">
      <c r="A2" s="278" t="s">
        <v>47</v>
      </c>
      <c r="B2" s="279"/>
      <c r="C2" s="283" t="s">
        <v>478</v>
      </c>
      <c r="D2" s="284"/>
    </row>
    <row r="3" spans="1:9" s="2" customFormat="1" ht="35.1" customHeight="1" thickBot="1" x14ac:dyDescent="0.3">
      <c r="A3" s="20" t="s">
        <v>15</v>
      </c>
      <c r="B3" s="285" t="s">
        <v>137</v>
      </c>
      <c r="C3" s="286"/>
      <c r="D3" s="287"/>
    </row>
    <row r="4" spans="1:9" ht="35.1" customHeight="1" thickBot="1" x14ac:dyDescent="0.3">
      <c r="A4" s="20" t="s">
        <v>23</v>
      </c>
      <c r="B4" s="288">
        <v>45911</v>
      </c>
      <c r="C4" s="289"/>
      <c r="D4" s="290"/>
    </row>
    <row r="5" spans="1:9" ht="35.1" customHeight="1" thickBot="1" x14ac:dyDescent="0.3">
      <c r="A5" s="20" t="s">
        <v>24</v>
      </c>
      <c r="B5" s="288">
        <v>47007</v>
      </c>
      <c r="C5" s="289"/>
      <c r="D5" s="290"/>
    </row>
    <row r="6" spans="1:9" ht="35.1" customHeight="1" thickBot="1" x14ac:dyDescent="0.3">
      <c r="A6" s="46" t="s">
        <v>16</v>
      </c>
      <c r="B6" s="46" t="s">
        <v>17</v>
      </c>
      <c r="C6" s="46" t="s">
        <v>18</v>
      </c>
      <c r="D6" s="46" t="s">
        <v>81</v>
      </c>
    </row>
    <row r="7" spans="1:9" ht="35.1" customHeight="1" thickBot="1" x14ac:dyDescent="0.3">
      <c r="A7" s="21" t="s">
        <v>25</v>
      </c>
      <c r="B7" s="22">
        <v>20303300</v>
      </c>
      <c r="C7" s="23"/>
      <c r="D7" s="29"/>
    </row>
    <row r="8" spans="1:9" ht="35.1" customHeight="1" thickBot="1" x14ac:dyDescent="0.3">
      <c r="A8" s="24" t="s">
        <v>19</v>
      </c>
      <c r="B8" s="22">
        <f>'BOQ MASTER'!BN110</f>
        <v>7550386.9300000016</v>
      </c>
      <c r="C8" s="25">
        <f>B8/B7</f>
        <v>0.37187978949234862</v>
      </c>
      <c r="D8" s="29"/>
      <c r="E8" s="4"/>
      <c r="F8" s="75"/>
      <c r="I8" s="19"/>
    </row>
    <row r="9" spans="1:9" ht="35.1" customHeight="1" thickBot="1" x14ac:dyDescent="0.3">
      <c r="A9" s="26" t="s">
        <v>20</v>
      </c>
      <c r="B9" s="22">
        <f>'BOQ MASTER'!BO110</f>
        <v>4215447.93</v>
      </c>
      <c r="C9" s="25">
        <f>B9/B7</f>
        <v>0.20762378184827096</v>
      </c>
      <c r="D9" s="29"/>
      <c r="E9" s="3"/>
      <c r="G9" s="4"/>
      <c r="H9" s="19"/>
      <c r="I9" s="4"/>
    </row>
    <row r="10" spans="1:9" ht="35.1" customHeight="1" thickBot="1" x14ac:dyDescent="0.3">
      <c r="A10" s="27" t="s">
        <v>21</v>
      </c>
      <c r="B10" s="22">
        <f>B7-B8</f>
        <v>12752913.069999998</v>
      </c>
      <c r="C10" s="25">
        <f>B10/B7</f>
        <v>0.62812021050765143</v>
      </c>
      <c r="D10" s="29"/>
      <c r="H10" s="4"/>
      <c r="I10" s="4"/>
    </row>
    <row r="11" spans="1:9" ht="35.1" customHeight="1" thickBot="1" x14ac:dyDescent="0.3">
      <c r="A11" s="27" t="s">
        <v>36</v>
      </c>
      <c r="B11" s="22">
        <f>B8-B9</f>
        <v>3334939.0000000019</v>
      </c>
      <c r="C11" s="25">
        <f>B11/B7</f>
        <v>0.16425600764407766</v>
      </c>
      <c r="D11" s="29"/>
    </row>
    <row r="12" spans="1:9" ht="35.1" customHeight="1" thickBot="1" x14ac:dyDescent="0.3">
      <c r="A12" s="27" t="s">
        <v>75</v>
      </c>
      <c r="B12" s="22">
        <f>C29</f>
        <v>1804981</v>
      </c>
      <c r="C12" s="25">
        <f>B12/B7</f>
        <v>8.8900868331749025E-2</v>
      </c>
      <c r="D12" s="29"/>
      <c r="H12" s="4"/>
    </row>
    <row r="13" spans="1:9" ht="35.1" customHeight="1" thickBot="1" x14ac:dyDescent="0.3">
      <c r="A13" s="28" t="s">
        <v>82</v>
      </c>
      <c r="B13" s="22">
        <f>'BOQ MASTER'!BW110</f>
        <v>1851418.7099999997</v>
      </c>
      <c r="C13" s="25">
        <f>B13/B9</f>
        <v>0.43919857171619714</v>
      </c>
      <c r="D13" s="29"/>
      <c r="F13" s="1"/>
      <c r="G13" s="7"/>
      <c r="H13" s="7"/>
    </row>
    <row r="14" spans="1:9" ht="35.1" customHeight="1" thickBot="1" x14ac:dyDescent="0.3">
      <c r="A14" s="29" t="s">
        <v>40</v>
      </c>
      <c r="B14" s="22">
        <f>B13</f>
        <v>1851418.7099999997</v>
      </c>
      <c r="C14" s="25">
        <f>B14/B7</f>
        <v>9.1188068442075901E-2</v>
      </c>
      <c r="D14" s="29"/>
    </row>
    <row r="15" spans="1:9" ht="35.1" customHeight="1" thickBot="1" x14ac:dyDescent="0.3">
      <c r="A15" s="29" t="s">
        <v>39</v>
      </c>
      <c r="B15" s="22">
        <f>B7-B13</f>
        <v>18451881.289999999</v>
      </c>
      <c r="C15" s="25">
        <f>B15/B7</f>
        <v>0.90881193155792406</v>
      </c>
      <c r="D15" s="29"/>
    </row>
    <row r="16" spans="1:9" ht="35.1" customHeight="1" thickBot="1" x14ac:dyDescent="0.3">
      <c r="A16" s="29" t="s">
        <v>41</v>
      </c>
      <c r="B16" s="22">
        <f>B9-B13</f>
        <v>2364029.2199999997</v>
      </c>
      <c r="C16" s="25">
        <f>B16/B8</f>
        <v>0.31310040689530588</v>
      </c>
      <c r="D16" s="29"/>
      <c r="F16" s="19"/>
    </row>
    <row r="17" spans="1:8" ht="35.1" customHeight="1" thickBot="1" x14ac:dyDescent="0.3">
      <c r="A17" s="30" t="s">
        <v>22</v>
      </c>
      <c r="B17" s="22">
        <f>B15-B16</f>
        <v>16087852.07</v>
      </c>
      <c r="C17" s="25">
        <f>B17/B7</f>
        <v>0.79237621815172909</v>
      </c>
      <c r="D17" s="29"/>
    </row>
    <row r="18" spans="1:8" ht="23.1" customHeight="1" x14ac:dyDescent="0.25"/>
    <row r="19" spans="1:8" ht="23.1" customHeight="1" x14ac:dyDescent="0.25"/>
    <row r="20" spans="1:8" ht="23.1" customHeight="1" thickBot="1" x14ac:dyDescent="0.3"/>
    <row r="21" spans="1:8" ht="35.1" customHeight="1" thickBot="1" x14ac:dyDescent="0.3">
      <c r="A21" s="280" t="s">
        <v>26</v>
      </c>
      <c r="B21" s="281"/>
      <c r="C21" s="281"/>
      <c r="D21" s="281"/>
      <c r="E21" s="281"/>
      <c r="F21" s="281"/>
      <c r="G21" s="282"/>
    </row>
    <row r="22" spans="1:8" ht="35.1" customHeight="1" thickBot="1" x14ac:dyDescent="0.3">
      <c r="A22" s="42" t="s">
        <v>76</v>
      </c>
      <c r="B22" s="42" t="s">
        <v>34</v>
      </c>
      <c r="C22" s="42" t="s">
        <v>77</v>
      </c>
      <c r="D22" s="42" t="s">
        <v>78</v>
      </c>
      <c r="E22" s="42" t="s">
        <v>79</v>
      </c>
      <c r="F22" s="42" t="s">
        <v>80</v>
      </c>
      <c r="G22" s="42" t="s">
        <v>81</v>
      </c>
    </row>
    <row r="23" spans="1:8" ht="35.1" customHeight="1" thickBot="1" x14ac:dyDescent="0.3">
      <c r="A23" s="31" t="s">
        <v>27</v>
      </c>
      <c r="B23" s="32">
        <v>53</v>
      </c>
      <c r="C23" s="22">
        <v>7550386.9300000016</v>
      </c>
      <c r="D23" s="33">
        <v>4215447.93</v>
      </c>
      <c r="E23" s="33">
        <v>62432.91</v>
      </c>
      <c r="F23" s="33"/>
      <c r="G23" s="32"/>
    </row>
    <row r="24" spans="1:8" ht="35.1" customHeight="1" thickBot="1" x14ac:dyDescent="0.3">
      <c r="A24" s="61" t="s">
        <v>28</v>
      </c>
      <c r="B24" s="62">
        <v>4</v>
      </c>
      <c r="C24" s="62"/>
      <c r="D24" s="62" t="s">
        <v>62</v>
      </c>
      <c r="E24" s="62">
        <v>0</v>
      </c>
      <c r="F24" s="62"/>
      <c r="G24" s="62"/>
    </row>
    <row r="25" spans="1:8" ht="35.1" customHeight="1" thickBot="1" x14ac:dyDescent="0.3">
      <c r="A25" s="63" t="s">
        <v>29</v>
      </c>
      <c r="B25" s="64">
        <v>0</v>
      </c>
      <c r="C25" s="64">
        <v>1851418.7099999997</v>
      </c>
      <c r="D25" s="64">
        <f>C25</f>
        <v>1851418.7099999997</v>
      </c>
      <c r="E25" s="64">
        <v>13575.39</v>
      </c>
      <c r="F25" s="64"/>
      <c r="G25" s="65"/>
    </row>
    <row r="26" spans="1:8" ht="35.1" customHeight="1" thickBot="1" x14ac:dyDescent="0.3">
      <c r="A26" s="31" t="s">
        <v>30</v>
      </c>
      <c r="B26" s="43">
        <v>0</v>
      </c>
      <c r="C26" s="43">
        <f>B16</f>
        <v>2364029.2199999997</v>
      </c>
      <c r="D26" s="43">
        <f>B16</f>
        <v>2364029.2199999997</v>
      </c>
      <c r="E26" s="43">
        <v>0</v>
      </c>
      <c r="F26" s="43"/>
      <c r="G26" s="44"/>
    </row>
    <row r="27" spans="1:8" ht="35.1" customHeight="1" thickBot="1" x14ac:dyDescent="0.3">
      <c r="A27" s="31" t="s">
        <v>31</v>
      </c>
      <c r="B27" s="43">
        <v>0</v>
      </c>
      <c r="C27" s="43">
        <v>2326547.2199999997</v>
      </c>
      <c r="D27" s="43">
        <f>C27</f>
        <v>2326547.2199999997</v>
      </c>
      <c r="E27" s="43">
        <v>11181.52</v>
      </c>
      <c r="F27" s="43"/>
      <c r="G27" s="45"/>
      <c r="H27" s="19"/>
    </row>
    <row r="28" spans="1:8" ht="35.1" customHeight="1" thickBot="1" x14ac:dyDescent="0.3">
      <c r="A28" s="31" t="s">
        <v>32</v>
      </c>
      <c r="B28" s="43">
        <v>0</v>
      </c>
      <c r="C28" s="43">
        <v>1559945</v>
      </c>
      <c r="D28" s="43">
        <v>0</v>
      </c>
      <c r="E28" s="43">
        <v>14799</v>
      </c>
      <c r="F28" s="43"/>
      <c r="G28" s="43"/>
    </row>
    <row r="29" spans="1:8" ht="35.1" customHeight="1" thickBot="1" x14ac:dyDescent="0.3">
      <c r="A29" s="31" t="s">
        <v>33</v>
      </c>
      <c r="B29" s="43">
        <v>0</v>
      </c>
      <c r="C29" s="43">
        <v>1804981</v>
      </c>
      <c r="D29" s="43">
        <v>37482</v>
      </c>
      <c r="E29" s="43">
        <v>22862</v>
      </c>
      <c r="F29" s="43"/>
      <c r="G29" s="43"/>
    </row>
    <row r="30" spans="1:8" ht="19.5" customHeight="1" x14ac:dyDescent="0.25"/>
    <row r="31" spans="1:8" s="49" customFormat="1" ht="32.25" customHeight="1" x14ac:dyDescent="0.25">
      <c r="B31" s="50">
        <f>SUM(B25:B29)</f>
        <v>0</v>
      </c>
      <c r="C31" s="48">
        <f>SUM(C25:C30)</f>
        <v>9906921.1499999985</v>
      </c>
      <c r="D31" s="48">
        <f t="shared" ref="D31:F31" si="0">SUM(D25:D30)</f>
        <v>6579477.1499999994</v>
      </c>
      <c r="E31" s="48">
        <f t="shared" si="0"/>
        <v>62417.91</v>
      </c>
      <c r="F31" s="48">
        <f t="shared" si="0"/>
        <v>0</v>
      </c>
    </row>
    <row r="32" spans="1:8" x14ac:dyDescent="0.25">
      <c r="C32" s="19"/>
    </row>
    <row r="34" spans="4:6" x14ac:dyDescent="0.25">
      <c r="D34" s="19"/>
      <c r="E34" s="19"/>
      <c r="F34" s="19"/>
    </row>
    <row r="35" spans="4:6" x14ac:dyDescent="0.25">
      <c r="D35" s="19"/>
      <c r="E35" s="19"/>
    </row>
  </sheetData>
  <mergeCells count="6">
    <mergeCell ref="A2:B2"/>
    <mergeCell ref="A21:G21"/>
    <mergeCell ref="C2:D2"/>
    <mergeCell ref="B3:D3"/>
    <mergeCell ref="B4:D4"/>
    <mergeCell ref="B5:D5"/>
  </mergeCells>
  <pageMargins left="0.7" right="0.7" top="0.75" bottom="0.75" header="0.3" footer="0.3"/>
  <pageSetup paperSize="9" scale="77" fitToHeight="0" orientation="portrait" r:id="rId1"/>
  <colBreaks count="1" manualBreakCount="1">
    <brk id="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D490-CE48-4FC7-A438-7CEDB18FF9E8}">
  <dimension ref="B3:O33"/>
  <sheetViews>
    <sheetView topLeftCell="B1" workbookViewId="0">
      <selection activeCell="M24" sqref="M24"/>
    </sheetView>
  </sheetViews>
  <sheetFormatPr defaultRowHeight="15" x14ac:dyDescent="0.25"/>
  <cols>
    <col min="2" max="2" width="22.85546875" bestFit="1" customWidth="1"/>
    <col min="3" max="3" width="22.140625" customWidth="1"/>
    <col min="4" max="4" width="22.85546875" customWidth="1"/>
    <col min="5" max="5" width="10.140625" customWidth="1"/>
    <col min="6" max="6" width="15.140625" bestFit="1" customWidth="1"/>
    <col min="7" max="7" width="13.85546875" bestFit="1" customWidth="1"/>
    <col min="8" max="8" width="31.5703125" bestFit="1" customWidth="1"/>
    <col min="9" max="9" width="6.5703125" customWidth="1"/>
    <col min="10" max="10" width="15.140625" bestFit="1" customWidth="1"/>
    <col min="11" max="11" width="19" bestFit="1" customWidth="1"/>
    <col min="12" max="12" width="16" bestFit="1" customWidth="1"/>
    <col min="13" max="13" width="15.140625" bestFit="1" customWidth="1"/>
    <col min="14" max="14" width="20" bestFit="1" customWidth="1"/>
    <col min="15" max="15" width="38.42578125" bestFit="1" customWidth="1"/>
  </cols>
  <sheetData>
    <row r="3" spans="2:15" x14ac:dyDescent="0.25">
      <c r="B3" s="161" t="s">
        <v>44</v>
      </c>
      <c r="C3" s="161" t="s">
        <v>238</v>
      </c>
      <c r="D3" s="161" t="s">
        <v>45</v>
      </c>
      <c r="E3" s="161" t="s">
        <v>251</v>
      </c>
      <c r="F3" s="161" t="s">
        <v>43</v>
      </c>
      <c r="G3" s="161" t="s">
        <v>61</v>
      </c>
      <c r="H3" s="161" t="s">
        <v>254</v>
      </c>
      <c r="I3" s="161" t="s">
        <v>282</v>
      </c>
      <c r="J3" s="162" t="s">
        <v>35</v>
      </c>
      <c r="K3" s="162" t="s">
        <v>63</v>
      </c>
      <c r="L3" s="162" t="s">
        <v>255</v>
      </c>
      <c r="M3" s="162" t="s">
        <v>256</v>
      </c>
      <c r="N3" s="162" t="s">
        <v>257</v>
      </c>
      <c r="O3" s="162" t="s">
        <v>258</v>
      </c>
    </row>
    <row r="4" spans="2:15" x14ac:dyDescent="0.25">
      <c r="B4" t="s">
        <v>266</v>
      </c>
      <c r="C4" t="s">
        <v>240</v>
      </c>
      <c r="D4" t="s">
        <v>259</v>
      </c>
      <c r="E4" t="s">
        <v>260</v>
      </c>
      <c r="F4" t="s">
        <v>116</v>
      </c>
      <c r="G4" t="s">
        <v>261</v>
      </c>
      <c r="H4" t="s">
        <v>283</v>
      </c>
      <c r="I4">
        <v>71</v>
      </c>
      <c r="J4" t="s">
        <v>116</v>
      </c>
      <c r="K4" t="s">
        <v>116</v>
      </c>
      <c r="L4" t="s">
        <v>42</v>
      </c>
      <c r="M4" t="s">
        <v>42</v>
      </c>
      <c r="N4" t="s">
        <v>42</v>
      </c>
      <c r="O4" t="s">
        <v>262</v>
      </c>
    </row>
    <row r="5" spans="2:15" x14ac:dyDescent="0.25">
      <c r="B5" t="s">
        <v>276</v>
      </c>
      <c r="C5" t="s">
        <v>239</v>
      </c>
      <c r="D5" t="s">
        <v>263</v>
      </c>
      <c r="E5" t="s">
        <v>264</v>
      </c>
      <c r="F5" t="s">
        <v>157</v>
      </c>
      <c r="G5" t="s">
        <v>265</v>
      </c>
      <c r="H5" t="s">
        <v>284</v>
      </c>
      <c r="I5">
        <v>56</v>
      </c>
      <c r="J5" t="s">
        <v>157</v>
      </c>
      <c r="K5" t="s">
        <v>265</v>
      </c>
      <c r="L5" t="s">
        <v>177</v>
      </c>
      <c r="M5" t="s">
        <v>250</v>
      </c>
      <c r="N5" t="s">
        <v>157</v>
      </c>
      <c r="O5" t="s">
        <v>157</v>
      </c>
    </row>
    <row r="6" spans="2:15" x14ac:dyDescent="0.25">
      <c r="B6" t="s">
        <v>200</v>
      </c>
      <c r="C6" t="s">
        <v>267</v>
      </c>
      <c r="D6" t="s">
        <v>268</v>
      </c>
      <c r="E6" t="s">
        <v>269</v>
      </c>
      <c r="F6" t="s">
        <v>3</v>
      </c>
      <c r="G6" t="s">
        <v>42</v>
      </c>
      <c r="H6" t="s">
        <v>360</v>
      </c>
      <c r="I6">
        <v>92</v>
      </c>
      <c r="J6" t="s">
        <v>3</v>
      </c>
      <c r="K6" t="s">
        <v>270</v>
      </c>
      <c r="L6" t="s">
        <v>116</v>
      </c>
      <c r="M6" t="s">
        <v>157</v>
      </c>
      <c r="N6" t="s">
        <v>250</v>
      </c>
      <c r="O6" t="s">
        <v>246</v>
      </c>
    </row>
    <row r="7" spans="2:15" x14ac:dyDescent="0.25">
      <c r="B7" t="s">
        <v>383</v>
      </c>
      <c r="C7" t="s">
        <v>358</v>
      </c>
      <c r="D7" t="s">
        <v>272</v>
      </c>
      <c r="E7" t="s">
        <v>273</v>
      </c>
      <c r="F7" t="s">
        <v>42</v>
      </c>
      <c r="G7" t="s">
        <v>116</v>
      </c>
      <c r="H7" t="s">
        <v>361</v>
      </c>
      <c r="I7">
        <v>93</v>
      </c>
      <c r="J7" t="s">
        <v>42</v>
      </c>
      <c r="K7" t="s">
        <v>42</v>
      </c>
      <c r="L7" t="s">
        <v>157</v>
      </c>
      <c r="M7" t="s">
        <v>265</v>
      </c>
      <c r="N7" t="s">
        <v>265</v>
      </c>
      <c r="O7" t="s">
        <v>245</v>
      </c>
    </row>
    <row r="8" spans="2:15" x14ac:dyDescent="0.25">
      <c r="B8" t="s">
        <v>384</v>
      </c>
      <c r="C8" t="s">
        <v>116</v>
      </c>
      <c r="D8" t="s">
        <v>274</v>
      </c>
      <c r="F8" t="s">
        <v>177</v>
      </c>
      <c r="H8" t="s">
        <v>285</v>
      </c>
      <c r="I8">
        <v>66</v>
      </c>
      <c r="J8" t="s">
        <v>177</v>
      </c>
      <c r="K8" t="s">
        <v>157</v>
      </c>
      <c r="L8" t="s">
        <v>275</v>
      </c>
      <c r="O8" t="s">
        <v>244</v>
      </c>
    </row>
    <row r="9" spans="2:15" x14ac:dyDescent="0.25">
      <c r="B9" t="s">
        <v>271</v>
      </c>
      <c r="C9" t="s">
        <v>157</v>
      </c>
      <c r="D9" t="s">
        <v>277</v>
      </c>
      <c r="F9" t="s">
        <v>190</v>
      </c>
      <c r="H9" t="s">
        <v>286</v>
      </c>
      <c r="I9">
        <v>82</v>
      </c>
      <c r="J9" t="s">
        <v>275</v>
      </c>
      <c r="L9" t="s">
        <v>387</v>
      </c>
      <c r="O9" t="s">
        <v>248</v>
      </c>
    </row>
    <row r="10" spans="2:15" x14ac:dyDescent="0.25">
      <c r="B10" t="s">
        <v>386</v>
      </c>
      <c r="C10" t="s">
        <v>42</v>
      </c>
      <c r="D10" t="s">
        <v>278</v>
      </c>
      <c r="F10" t="s">
        <v>279</v>
      </c>
      <c r="H10" t="s">
        <v>287</v>
      </c>
      <c r="I10">
        <v>80</v>
      </c>
      <c r="O10" t="s">
        <v>249</v>
      </c>
    </row>
    <row r="11" spans="2:15" x14ac:dyDescent="0.25">
      <c r="B11" t="s">
        <v>385</v>
      </c>
      <c r="C11" t="s">
        <v>262</v>
      </c>
      <c r="D11" t="s">
        <v>280</v>
      </c>
      <c r="F11" t="s">
        <v>281</v>
      </c>
      <c r="H11" t="s">
        <v>288</v>
      </c>
      <c r="I11">
        <v>84</v>
      </c>
      <c r="O11" t="s">
        <v>247</v>
      </c>
    </row>
    <row r="12" spans="2:15" x14ac:dyDescent="0.25">
      <c r="H12" t="s">
        <v>289</v>
      </c>
      <c r="I12">
        <v>70</v>
      </c>
      <c r="O12" t="s">
        <v>190</v>
      </c>
    </row>
    <row r="13" spans="2:15" x14ac:dyDescent="0.25">
      <c r="H13" t="s">
        <v>290</v>
      </c>
      <c r="I13">
        <v>95</v>
      </c>
      <c r="O13" t="s">
        <v>3</v>
      </c>
    </row>
    <row r="14" spans="2:15" x14ac:dyDescent="0.25">
      <c r="H14" t="s">
        <v>291</v>
      </c>
      <c r="I14">
        <v>91</v>
      </c>
      <c r="O14" t="s">
        <v>177</v>
      </c>
    </row>
    <row r="15" spans="2:15" x14ac:dyDescent="0.25">
      <c r="H15" t="s">
        <v>292</v>
      </c>
      <c r="I15">
        <v>55</v>
      </c>
      <c r="O15" t="s">
        <v>116</v>
      </c>
    </row>
    <row r="16" spans="2:15" x14ac:dyDescent="0.25">
      <c r="H16" t="s">
        <v>293</v>
      </c>
      <c r="I16">
        <v>55</v>
      </c>
    </row>
    <row r="17" spans="8:9" x14ac:dyDescent="0.25">
      <c r="H17" t="s">
        <v>294</v>
      </c>
      <c r="I17">
        <v>56</v>
      </c>
    </row>
    <row r="18" spans="8:9" x14ac:dyDescent="0.25">
      <c r="H18" t="s">
        <v>295</v>
      </c>
      <c r="I18">
        <v>37</v>
      </c>
    </row>
    <row r="19" spans="8:9" x14ac:dyDescent="0.25">
      <c r="H19" t="s">
        <v>296</v>
      </c>
      <c r="I19">
        <v>45</v>
      </c>
    </row>
    <row r="20" spans="8:9" x14ac:dyDescent="0.25">
      <c r="H20" t="s">
        <v>297</v>
      </c>
      <c r="I20">
        <v>25</v>
      </c>
    </row>
    <row r="21" spans="8:9" x14ac:dyDescent="0.25">
      <c r="H21" t="s">
        <v>298</v>
      </c>
      <c r="I21">
        <v>85</v>
      </c>
    </row>
    <row r="22" spans="8:9" x14ac:dyDescent="0.25">
      <c r="H22" t="s">
        <v>299</v>
      </c>
      <c r="I22">
        <v>71</v>
      </c>
    </row>
    <row r="23" spans="8:9" x14ac:dyDescent="0.25">
      <c r="H23" t="s">
        <v>300</v>
      </c>
      <c r="I23">
        <v>45</v>
      </c>
    </row>
    <row r="24" spans="8:9" x14ac:dyDescent="0.25">
      <c r="H24" t="s">
        <v>301</v>
      </c>
      <c r="I24">
        <v>26</v>
      </c>
    </row>
    <row r="25" spans="8:9" x14ac:dyDescent="0.25">
      <c r="H25" t="s">
        <v>302</v>
      </c>
      <c r="I25">
        <v>90</v>
      </c>
    </row>
    <row r="26" spans="8:9" x14ac:dyDescent="0.25">
      <c r="H26" t="s">
        <v>303</v>
      </c>
      <c r="I26">
        <v>30</v>
      </c>
    </row>
    <row r="27" spans="8:9" x14ac:dyDescent="0.25">
      <c r="H27" t="s">
        <v>304</v>
      </c>
      <c r="I27">
        <v>55</v>
      </c>
    </row>
    <row r="28" spans="8:9" x14ac:dyDescent="0.25">
      <c r="H28" t="s">
        <v>359</v>
      </c>
      <c r="I28">
        <v>34</v>
      </c>
    </row>
    <row r="29" spans="8:9" x14ac:dyDescent="0.25">
      <c r="H29" t="s">
        <v>305</v>
      </c>
      <c r="I29">
        <v>86</v>
      </c>
    </row>
    <row r="30" spans="8:9" x14ac:dyDescent="0.25">
      <c r="H30" t="s">
        <v>306</v>
      </c>
      <c r="I30">
        <v>54</v>
      </c>
    </row>
    <row r="31" spans="8:9" x14ac:dyDescent="0.25">
      <c r="H31" t="s">
        <v>307</v>
      </c>
      <c r="I31">
        <v>16</v>
      </c>
    </row>
    <row r="32" spans="8:9" x14ac:dyDescent="0.25">
      <c r="H32" t="s">
        <v>308</v>
      </c>
      <c r="I32">
        <v>7</v>
      </c>
    </row>
    <row r="33" spans="8:9" x14ac:dyDescent="0.25">
      <c r="H33" t="s">
        <v>309</v>
      </c>
      <c r="I3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Purpose</vt:lpstr>
      <vt:lpstr>BOQ MASTER</vt:lpstr>
      <vt:lpstr>Project Summary</vt:lpstr>
      <vt:lpstr>lists</vt:lpstr>
      <vt:lpstr>'Project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2026-09-12T07:42:46Z</dcterms:modified>
</cp:coreProperties>
</file>